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gust_daily_activites" sheetId="1" r:id="rId5"/>
    <sheet state="visible" name="Daily Activities" sheetId="2" r:id="rId6"/>
    <sheet state="visible" name="ToolsAccess" sheetId="3" r:id="rId7"/>
    <sheet state="visible" name="Boon county non_emergency handl" sheetId="4" r:id="rId8"/>
    <sheet state="visible" name="toolsframworks_boone county" sheetId="5" r:id="rId9"/>
    <sheet state="visible" name="Resources_of_boons_county" sheetId="6" r:id="rId10"/>
    <sheet state="visible" name="PRE_Processing_activites" sheetId="7" r:id="rId11"/>
    <sheet state="visible" name="ref-pending-search-projects" sheetId="8" r:id="rId12"/>
    <sheet state="visible" name="Search-Project-Action-items" sheetId="9" r:id="rId13"/>
    <sheet state="visible" name="Sprint Plan" sheetId="10" r:id="rId14"/>
    <sheet state="visible" name="Jama_action_items" sheetId="11" r:id="rId15"/>
    <sheet state="visible" name="Indra Action items" sheetId="12" r:id="rId16"/>
    <sheet state="visible" name="Services Naming Standards" sheetId="13" r:id="rId17"/>
  </sheets>
  <definedNames>
    <definedName hidden="1" localSheetId="8" name="_xlnm._FilterDatabase">'Search-Project-Action-items'!$A$1:$H$1004</definedName>
  </definedNames>
  <calcPr/>
</workbook>
</file>

<file path=xl/sharedStrings.xml><?xml version="1.0" encoding="utf-8"?>
<sst xmlns="http://schemas.openxmlformats.org/spreadsheetml/2006/main" count="2067" uniqueCount="1141">
  <si>
    <t>DATE</t>
  </si>
  <si>
    <t>Name</t>
  </si>
  <si>
    <t>Action Items</t>
  </si>
  <si>
    <t>Paid Tools / Softwares</t>
  </si>
  <si>
    <t>Login / API</t>
  </si>
  <si>
    <t>Action Item's for the day</t>
  </si>
  <si>
    <t>Access Granted</t>
  </si>
  <si>
    <t>Purpose</t>
  </si>
  <si>
    <t>Sub Tasks</t>
  </si>
  <si>
    <t>Remarks</t>
  </si>
  <si>
    <t xml:space="preserve">sai b </t>
  </si>
  <si>
    <t>Status</t>
  </si>
  <si>
    <t>Groq LLM</t>
  </si>
  <si>
    <t>API</t>
  </si>
  <si>
    <t>Due Date</t>
  </si>
  <si>
    <t>YES</t>
  </si>
  <si>
    <t>Assigned To</t>
  </si>
  <si>
    <t>Status of the work</t>
  </si>
  <si>
    <t>Reviewer</t>
  </si>
  <si>
    <t>It is for the auto document formatting and  auto job posting</t>
  </si>
  <si>
    <t>Review By</t>
  </si>
  <si>
    <t>Planned Work For Tomorrow</t>
  </si>
  <si>
    <t>SEND GRID</t>
  </si>
  <si>
    <t>Note</t>
  </si>
  <si>
    <t>Tools/languages/frameworks/chatbots/websites</t>
  </si>
  <si>
    <t>Modifications</t>
  </si>
  <si>
    <r>
      <rPr/>
      <t xml:space="preserve">It is for the </t>
    </r>
    <r>
      <rPr>
        <color rgb="FF1155CC"/>
        <u/>
      </rPr>
      <t>unnanu.in</t>
    </r>
    <r>
      <rPr/>
      <t xml:space="preserve"> mails</t>
    </r>
  </si>
  <si>
    <t>22/06/2026</t>
  </si>
  <si>
    <t>Bhavya</t>
  </si>
  <si>
    <t>G Indra</t>
  </si>
  <si>
    <t>Collecting dataset from boon's county non emergency calls for classification.</t>
  </si>
  <si>
    <t>1. Implement search for all the files of IntegrateUs sharepoint
2. Working with Jama to evaluate best model to generate data profile.</t>
  </si>
  <si>
    <t>1. Discussion with jama regarding profile data generation for 1.2 hrs</t>
  </si>
  <si>
    <t>Today's work centered on resolving critical platform bugs, enhancing search capabilities, and advancing DevOps and AI infrastructure for the Enterprise project. Major milestones included successfully fixing job link sharing on the Unanu USA job board, building a comprehensive knowledge base across 18 repositories, and progressing on automated testing and Azure deployment agents.
Completed Tasks
• Unnanu USA Job Board: Successfully resolved two specific issues related to job link sharing functionality (repo unnanu-jobs-2026).
• Catalog Search Enhancement: Regenerated the catalog and successfully integrated the new intent query logic.
• Enterprise Knowledge Base: Built and compiled a complete knowledge base covering all 18 repositories within the Unnanu Enterprise project.
• Testing &amp; Deployment Agents:
Conducted a dry run of the new Testing Agent.
Performed further testing and updates on uat.jobs.unanu.com.
Worked on the deployment agent, enabling the capability to deploy any repository directly into Azure</t>
  </si>
  <si>
    <t>pending</t>
  </si>
  <si>
    <t>1. Implement search for all the files of IntegrateUs sharepoint.</t>
  </si>
  <si>
    <t>indra</t>
  </si>
  <si>
    <t xml:space="preserve">1. Complete all action items of 1st &amp; 2nd august in the Search project.
2.  Prepare an agent orchestrator for the Search.
3. Prepare SQL schema diagram for Search platforms.
4. </t>
  </si>
  <si>
    <t>jama &amp; harshith</t>
  </si>
  <si>
    <t>indra and  NNR</t>
  </si>
  <si>
    <t>1. Completed the actions items of 1st &amp; 2nd august of search project
2. Drafted the architecture diagram of Search sytem orchestrator.
3. Prepared the SQL file for Schema creation and intial setup.</t>
  </si>
  <si>
    <t xml:space="preserve">indra , NNR,rajeev </t>
  </si>
  <si>
    <t>using internet found data</t>
  </si>
  <si>
    <t>GEMINI LLM</t>
  </si>
  <si>
    <t>sai b</t>
  </si>
  <si>
    <t>1.perplexity (bots)
2.gemini (bots)</t>
  </si>
  <si>
    <t>I am working on the linkedin chrome extension.</t>
  </si>
  <si>
    <t>Complete Testing Agent: Run the testing agent across the job portals to identify issues &amp; Bugs.
Coding Agent : It will take input from exception log table and fixes those exceptions.
Finalize Deployment Agent: Complete the deployment agent to ensure any repository can be smoothly deployed to Azure.
Handover to Sachin: Hand over the finalized deployment agent to Sachin for deployment on Unnanu.com.
Solve Public Link Sharing: Investigate and find a solution to make the "match job link" shareable with the public.
Evaluate DIR Web Search: Analyze the pros and cons of the currently implemented DIR web search logic specifically for public link sharing.</t>
  </si>
  <si>
    <t>Still in rnd</t>
  </si>
  <si>
    <t>It is for generating LinkedIn posters and  Instagram agent to create videos and images for marketing.</t>
  </si>
  <si>
    <t>G bhavya</t>
  </si>
  <si>
    <t>I need to work on the linkedin extension</t>
  </si>
  <si>
    <t>found NYC Metadata  both emergency and non-emergency</t>
  </si>
  <si>
    <t>FIREFLIES</t>
  </si>
  <si>
    <t>LOGIN/API</t>
  </si>
  <si>
    <t>G jama</t>
  </si>
  <si>
    <t>1. Shared ngrok link to hemanth for testing.
2. Started building SPFx package to integrate our search project to Sharepoint site.</t>
  </si>
  <si>
    <t>completed</t>
  </si>
  <si>
    <t>1. go through proposed architecture 
2.create detailed report of problem statement
3.create a action for implement that boon's county project</t>
  </si>
  <si>
    <t>It is for the auto uploading to the drive to store the daily meeting files</t>
  </si>
  <si>
    <t>indra and NNR</t>
  </si>
  <si>
    <t>AZURE DEVOPS</t>
  </si>
  <si>
    <t>Almost to finish the package.</t>
  </si>
  <si>
    <t xml:space="preserve">1.Understand arcitecture
2.created report
3.created action for project </t>
  </si>
  <si>
    <t xml:space="preserve">LOGIN </t>
  </si>
  <si>
    <t xml:space="preserve">NYC Opendata website </t>
  </si>
  <si>
    <t>1.working on datasets</t>
  </si>
  <si>
    <t>1. Should finish end-to-end package
2. Integrate the built package into sharepoint.
3. Work on accuracy of search</t>
  </si>
  <si>
    <t>It is for managing project workflows and source code repositories  and managing the development pipeline.</t>
  </si>
  <si>
    <t>research on metadata fields which are mandatory to ask and how they elaborate based on that fields</t>
  </si>
  <si>
    <t>Harshith</t>
  </si>
  <si>
    <t>Tapasya</t>
  </si>
  <si>
    <t>I am working on the implementaion plan of boone county</t>
  </si>
  <si>
    <t>On Leave</t>
  </si>
  <si>
    <t>INSTAGRAM,YOUTUBE,LINKEDIN,FACEBOOK</t>
  </si>
  <si>
    <t>N/A</t>
  </si>
  <si>
    <t>NO</t>
  </si>
  <si>
    <t>Marketing for the Indian jobboard</t>
  </si>
  <si>
    <t>B Sai</t>
  </si>
  <si>
    <t xml:space="preserve">emergency data fields </t>
  </si>
  <si>
    <t>No</t>
  </si>
  <si>
    <t>ongoing</t>
  </si>
  <si>
    <t>Search</t>
  </si>
  <si>
    <t>Completed project documentation, writing up the work done across the projects. Also fixed several UI issues in Unnanu India.</t>
  </si>
  <si>
    <t>DataGrip</t>
  </si>
  <si>
    <t>Login</t>
  </si>
  <si>
    <t>Yes</t>
  </si>
  <si>
    <t xml:space="preserve">Collect the data fields </t>
  </si>
  <si>
    <r>
      <rPr>
        <rFont val="Roboto"/>
        <color rgb="FF000000"/>
      </rPr>
      <t xml:space="preserve">Everything is done this are docuemnts </t>
    </r>
    <r>
      <rPr>
        <rFont val="Roboto"/>
        <color rgb="FF1155CC"/>
        <u/>
      </rPr>
      <t>https://drive.google.com/drive/folders/1ahnj7CYYZM-x2h-XfR74LhEzA7gWZ4LX?usp=sharing</t>
    </r>
  </si>
  <si>
    <t>Tracking search</t>
  </si>
  <si>
    <t>claude model</t>
  </si>
  <si>
    <t>For storing data of preprocessed files and to track the working of the application</t>
  </si>
  <si>
    <t>Azure App Integration</t>
  </si>
  <si>
    <t xml:space="preserve">Permissions are fetched into data tables, but there a lot changes needs to be done because of permissions levels and sync. </t>
  </si>
  <si>
    <t>non-emergency data fields (service,info)</t>
  </si>
  <si>
    <t>Authentication</t>
  </si>
  <si>
    <t>To authenticate and fetch sharepoint files</t>
  </si>
  <si>
    <t>1. Complete the action items of 3rd and 4th august of search project.
2. Review the SQL file and table creation.
3. Test CSP &amp; UCAP E2E .
4. Prepare best quality questions from DIR Search for madhu.  
5. R&amp;D on Agent orchestrator and find out whether this approach helpful or not.</t>
  </si>
  <si>
    <t>Claude</t>
  </si>
  <si>
    <t xml:space="preserve">1. Completed the action items in Search project.
2. SQL file script reviewed and fixed changes.
3. Questions are prepared and discussed with Rajeev
4. Need to review the agent orchestrator and discussed with Rajeev.
5. Fixed issues on deployment dir &amp; PMCS Search by Rajeev.
6. Fixed issues in MVP1 </t>
  </si>
  <si>
    <t>claude model / any other models or techniques</t>
  </si>
  <si>
    <t>Coding</t>
  </si>
  <si>
    <t>For implementation and R&amp;D</t>
  </si>
  <si>
    <t>Analyse and visualization of Non-Emergency Datset</t>
  </si>
  <si>
    <t xml:space="preserve">API </t>
  </si>
  <si>
    <t>Working on the linkedin cherome extension</t>
  </si>
  <si>
    <t>I have done some reasearch on the extension automation,so we cannot automate the installation of the extension</t>
  </si>
  <si>
    <t>For Preprocessing and Generating Data Tables</t>
  </si>
  <si>
    <t xml:space="preserve">I need to work on the bids, resume chatbot, n8n automation for the transcript generation </t>
  </si>
  <si>
    <t xml:space="preserve">Using llama-3.3-70b-versatile via Groq API provided by indra for Preprocessing data and Generating  Metadata ,Catalog, Autocomplete Tables </t>
  </si>
  <si>
    <t>Log in (helloclaude@unnanu.ai and unnanu@unnanu.ai(currently using))</t>
  </si>
  <si>
    <t>analysis on collected data</t>
  </si>
  <si>
    <t>i did't find any datasets for use case but found some related</t>
  </si>
  <si>
    <t>For Develoment</t>
  </si>
  <si>
    <t>1. building workflowof bcjc</t>
  </si>
  <si>
    <t>Azure PMCS Datastorage</t>
  </si>
  <si>
    <t>Login (access given by indra to tapasya@unnanu.com)</t>
  </si>
  <si>
    <t xml:space="preserve">do analysis on what data fields they ask {ETC}. And how they elaborate based on those fields </t>
  </si>
  <si>
    <t>Data read access for implementing search in PMCS Website</t>
  </si>
  <si>
    <t xml:space="preserve">For developing search </t>
  </si>
  <si>
    <t xml:space="preserve">PMCS admin page </t>
  </si>
  <si>
    <t>Instagram Marketing Posting Agent
"I want to build an automated agent that creates and publishes marketing content to Instagram. The agent should generate captions, select relevant hashtags, schedule posts at optimal times, and post images or videos automatically. It should support campaign-based posting, maintain brand tone and voice, and track engagement metrics like likes, comments, and reach after posting."</t>
  </si>
  <si>
    <t>Logged in (with madhu account)</t>
  </si>
  <si>
    <t>for checking live search and data history</t>
  </si>
  <si>
    <t>search tracking and improvements</t>
  </si>
  <si>
    <t>visulized complaints of non-emergency data of NYC</t>
  </si>
  <si>
    <t>1. List out all the pain points of sync of live sharepoint data
2. Should find a way to process PPTs, Excels, etc files.</t>
  </si>
  <si>
    <t>PMCS Sharepoint</t>
  </si>
  <si>
    <t>1. A 50 mins dicussion with Jama &amp; Harshit regarding Automated Non-Emergency calls for Boone County and delivered a base level demo.</t>
  </si>
  <si>
    <t>Logged in (with suman account)</t>
  </si>
  <si>
    <t>1. List out all the pain points of sync of live sharepoint data
2. Should find a way to process PPTs, Excels, etc files.
3. R&amp;D on open &amp; closed-source audio/video models (Whisper, Deepgram, Gemini 1.5 Pro) and collaborate with Tapasya to finalize the ML pipeline model catalog for metadata generation.
4. Collaborate with Jama and Harshith to deliver a demo for Automated Non-Emergency calls proposal.</t>
  </si>
  <si>
    <t xml:space="preserve">For accessing Sharepoint files </t>
  </si>
  <si>
    <t xml:space="preserve">1.Using nyc open data website perfomed visulizations </t>
  </si>
  <si>
    <t xml:space="preserve">used for accessing sharepoint files through code </t>
  </si>
  <si>
    <t>NYC opendata visulization tool</t>
  </si>
  <si>
    <t xml:space="preserve">1. Run code review on search project.
2. E2E Testing on Search Product (Customer search platorm + UCAP )
3. Write Unit and integrate test cases to validate UCAP &amp; CSP &amp; sync
4. Merge search project ui into customer portal ui  </t>
  </si>
  <si>
    <t>1. Code review completed on UCAP &amp; CSP
2. Manual review of UCAP going on.
3. Generated Testcases for UCAP &amp; CSP &amp; to validate sync.
4. Merged Search project UI into customer portal ui to remove inconsistency and redundancy
5.  Manual UCAP UI testing and Identifying bugs and fixing them.</t>
  </si>
  <si>
    <t>comparing attetnions of llama 3.2 1 b and qwen 3.2 0.5b param models how each generation of new token how much attention would pay that context(instructions,data,query)</t>
  </si>
  <si>
    <t>Log in (helloclaude@unnanu.ai)</t>
  </si>
  <si>
    <t>Build knowledge base for responses (ground truth)</t>
  </si>
  <si>
    <t>yes</t>
  </si>
  <si>
    <t xml:space="preserve">document creation </t>
  </si>
  <si>
    <t>saii b</t>
  </si>
  <si>
    <t>I worked on the bids and the resume chat bot</t>
  </si>
  <si>
    <t>Azure log access for the resume chatbot(uat and prod)</t>
  </si>
  <si>
    <t xml:space="preserve">i figure out this 2 models attentions different weights(percentages) in different tokens </t>
  </si>
  <si>
    <t xml:space="preserve">Log in </t>
  </si>
  <si>
    <t>Bids are done, resume chat bot is pending</t>
  </si>
  <si>
    <t>no</t>
  </si>
  <si>
    <t>I need to work one th n8n Automationa and the resume chatbot</t>
  </si>
  <si>
    <t xml:space="preserve">selecting llm which is well train on what data we preprocessing </t>
  </si>
  <si>
    <t>I need to check the logs for the issue</t>
  </si>
  <si>
    <t xml:space="preserve">I need it for the logs to find the issue. </t>
  </si>
  <si>
    <t>Presented workflow</t>
  </si>
  <si>
    <t>either vector embeddings or our unnanu search discuss with team and conclude</t>
  </si>
  <si>
    <t>23/06/2026</t>
  </si>
  <si>
    <t>Implementation of BCJC Core logic</t>
  </si>
  <si>
    <t>chunks(semantic/unnanu technique)</t>
  </si>
  <si>
    <t>1.vectordb
2.unnanu technique(tables)</t>
  </si>
  <si>
    <t xml:space="preserve">build a intent classification tecnique to give responses  and handle responses to non-emergency calls (algorithm) </t>
  </si>
  <si>
    <t>harshith and jama</t>
  </si>
  <si>
    <t>In progress</t>
  </si>
  <si>
    <t>Successfully resolved configuration and build errors during the SPFx packaging process.
The package has been stabilized.</t>
  </si>
  <si>
    <t>build logic of classify and select category and ask that category slots to fill service request</t>
  </si>
  <si>
    <t>Done building the SPFx package to integrate into sharepoint</t>
  </si>
  <si>
    <t xml:space="preserve">1. Have to make sure the package is perfect without any issues.
2. Should work on results of sharepoint search as they we're not accurate and should figureout a way.
3. Autocomplete is showing up for hemanth with ngrok link but it is working fine for me with the same link. Should check on it and make it works. </t>
  </si>
  <si>
    <t>1. Complete all pending workflows from UCAP ,CSP.
2. Merge search project api into customer search portal api.
3. Review the orchestrate logic and get requirements to test it in Azure GPU VM.
4. Dry Run optimised pipeline in Mac</t>
  </si>
  <si>
    <t xml:space="preserve">1. Completed Testing on UCAP on customer creation and product assignment.
2. Completed Testing on Onboarding Validate invite 
3. Merged search project api into customer portal api.
</t>
  </si>
  <si>
    <t xml:space="preserve">Using slm/llm/ml algorithms </t>
  </si>
  <si>
    <t xml:space="preserve">1.Using groq inference (llama 3.1 8b model)
</t>
  </si>
  <si>
    <t>I am working on the indian jobboard and resumechatbot and n8n automation</t>
  </si>
  <si>
    <t xml:space="preserve">still pending </t>
  </si>
  <si>
    <t>add handle understand of addresses names</t>
  </si>
  <si>
    <t>i need to add some locations and the addidtional feilds in the indian jobboard and i need to verify how the resume chatbot is working</t>
  </si>
  <si>
    <t>Sai b</t>
  </si>
  <si>
    <t>Today, I am working on generating AI videos to post on Instagram, Facebook, and YouTube. I am still refining the process to ensure the most accurate results</t>
  </si>
  <si>
    <t>Implemented  BCJC Core logic</t>
  </si>
  <si>
    <t>I have already moved past the brainstorming and initial generation phase. I am currently in the iterative process adjusting prompts, editing frames, or fixing glitches to ensure the final video meets high-quality standards before it is published</t>
  </si>
  <si>
    <t>evaluting with examples or synthtetic data of call tanscripts</t>
  </si>
  <si>
    <t>I will work on the same thing,posting the video on the social platfroms using the agents .</t>
  </si>
  <si>
    <t>1.research on how they check addresses
2.based on that learn how to automate that  place addresses  identify correctly
3.giving llm to common sense</t>
  </si>
  <si>
    <t xml:space="preserve">perplexity bot,nyc opendata website,claude model </t>
  </si>
  <si>
    <t>G Jama</t>
  </si>
  <si>
    <t xml:space="preserve">searching llms </t>
  </si>
  <si>
    <t xml:space="preserve">I did't find any good for that DIR DATA </t>
  </si>
  <si>
    <t>build logic of emergency detection and trigger to telecommunicator</t>
  </si>
  <si>
    <t>working in that dynamic creation of prompts for generating data for preprocessing and keep on searching llms</t>
  </si>
  <si>
    <t>24/06/2026</t>
  </si>
  <si>
    <t xml:space="preserve"> In Progress</t>
  </si>
  <si>
    <t>On leave</t>
  </si>
  <si>
    <t>1. Work on the search logic and automation of the catalog and autocomplete
2. R&amp;D on open &amp; closed-source audio/video models (Whisper, Deepgram, Gemini 1.5 Pro) and collaborate with Tapasya to finalize the ML pipeline model catalog for metadata generation.</t>
  </si>
  <si>
    <t>build a system for emergency detection</t>
  </si>
  <si>
    <t>1. Organise the DIR Demo solution.
2. Merge contracts search into DIR Demo solution.
3. Get credentials for Azure &amp;GCP to test onboarding.
4. If Creds available, do the onboarding test trails.
5. Test UCAP &amp; CSP Sync locally.</t>
  </si>
  <si>
    <t>1. Fixed Ui Cors error issues.
2. Added deployment activity tracker
3. disbaled email actvity tracking (testing purpose)
4. Search wizard is in sync with products marketplace.
5. Redesigned Customer portal login page and added product marketplace.</t>
  </si>
  <si>
    <t xml:space="preserve">works should predict wheather it is a emergency or not </t>
  </si>
  <si>
    <t xml:space="preserve">Woked on Related links feature for PMCS search </t>
  </si>
  <si>
    <t>via llm prompt's to we classify</t>
  </si>
  <si>
    <t>Ongoing</t>
  </si>
  <si>
    <t>I am working on the indian jobboard and the resume chatbot</t>
  </si>
  <si>
    <t xml:space="preserve">1. indian jobboard is done.I have dded the some locations and sections in the jobboard 
2.Resume chat is also done </t>
  </si>
  <si>
    <t>I need to work on the n8n automation for the transcript generation of monthly and weekly , daily</t>
  </si>
  <si>
    <t xml:space="preserve">buid robust system </t>
  </si>
  <si>
    <t>evalutaed with synthtetic data of call tanscripts</t>
  </si>
  <si>
    <t xml:space="preserve">working in Customer profile , how to create it  </t>
  </si>
  <si>
    <t>implement STT/TTS and dashboard and improve logic performance</t>
  </si>
  <si>
    <t>i figure out Customer Profile may help us to generate data</t>
  </si>
  <si>
    <t xml:space="preserve">Working more about Customer profile, ICP(Ideal Customer Profile) </t>
  </si>
  <si>
    <t>25/06/2026</t>
  </si>
  <si>
    <t>1. don't miss if it is in service/info request turns 
2. research on how well to describe to llm</t>
  </si>
  <si>
    <t xml:space="preserve">Indra </t>
  </si>
  <si>
    <t xml:space="preserve">build a SIP/voip communication System and integrate with developed technique </t>
  </si>
  <si>
    <t>Attended Mahendar's Marriage</t>
  </si>
  <si>
    <t>using python frameworks</t>
  </si>
  <si>
    <t xml:space="preserve">1. Azure credentials created for Unnanu cloud.
2. Onboarding and Platform Sync enabled.
3. merged onboarding tab into deployment tab in platform.
</t>
  </si>
  <si>
    <t>python framworks</t>
  </si>
  <si>
    <t>ACS(Azure Communication Service)</t>
  </si>
  <si>
    <t>Working with Jama regarding Non-Emergency Call Demo and implemented classification techniques.</t>
  </si>
  <si>
    <t>26/06/2026</t>
  </si>
  <si>
    <t>Done</t>
  </si>
  <si>
    <t xml:space="preserve">try twillo has alternative </t>
  </si>
  <si>
    <t>implemented that STT/TTS systems and find drawbacks</t>
  </si>
  <si>
    <t>solve that drawbacks in core logic and created a doc of everything end to end project</t>
  </si>
  <si>
    <t xml:space="preserve">1. Did R &amp; D on integration of package into sharepoint and worked on autocomplete which is not fetching in ngrok link. </t>
  </si>
  <si>
    <t xml:space="preserve">1. Should work on search part as results are as accurate as before. Have to find the issue and make sure search works fine. </t>
  </si>
  <si>
    <t xml:space="preserve">build STT  and TTS pipelines </t>
  </si>
  <si>
    <t>using any open source STT/or anyother</t>
  </si>
  <si>
    <t xml:space="preserve">about ICP difference between that Customer profile </t>
  </si>
  <si>
    <t>1. Presented Current search logic and process with NNR sir and got some inputs from him and should R&amp;D on the sharepoint Live search Technique.</t>
  </si>
  <si>
    <t xml:space="preserve">know about ICP </t>
  </si>
  <si>
    <t>1. Complete R&amp;D on new search logic and live sharepoint search process and tools.
2. Later submit Architecture, requirements, WorkFlow, PainPoints, and Walkthrough.</t>
  </si>
  <si>
    <t xml:space="preserve">working on data profile </t>
  </si>
  <si>
    <t>find models and build a system</t>
  </si>
  <si>
    <t>Week completed</t>
  </si>
  <si>
    <t>1. Go through search APi manual review.
2. Dry run unnanu cloud test installing csp.
3. Sit with bhavya &amp; Tapasya Regarding document optimisation.</t>
  </si>
  <si>
    <t>1. Merged all platforms and updated the git repo's
2. Created branches Main,uat,dev,indra applying all those approaches to entire search products</t>
  </si>
  <si>
    <t>1.Deepgram REST API nova-2 ( STT)
2.es_MX-claude-high TTS(hugging face model Speaches-ai community) -spanish
3.en_US-lessac-medium TTS( hugging face model Speaches-ai community) - english</t>
  </si>
  <si>
    <t>solve that drawbacks in core logic and created a doc of everything end to end project
implemented spanish lang and emergency escalate report</t>
  </si>
  <si>
    <t>29/06/2026</t>
  </si>
  <si>
    <t>finished core logic based on nyc data
finished that spanish lang and emergency calls</t>
  </si>
  <si>
    <t xml:space="preserve">find least optimized models </t>
  </si>
  <si>
    <t>implemented spanish lang and emergency escalate report
if any call occurs what kind of meta data they required to ask caller</t>
  </si>
  <si>
    <t>1. Fixed search results accuracy issue.
2. Continues testing sharepoint integrateUS search and trying to resolve the issues raised by the hemanth
3. Studying Rajeev sir's code and techniques</t>
  </si>
  <si>
    <t xml:space="preserve">build data base for call records + services request </t>
  </si>
  <si>
    <t>1. Should work Groq API for LLM calls for search
2. Continuous test the site and make it as accurate as possible
3. R&amp;D on cost efficient LLM calls and try to reduce no.of tokens for each search</t>
  </si>
  <si>
    <t>Indra</t>
  </si>
  <si>
    <t>Working on improving chat result in PMCS search</t>
  </si>
  <si>
    <t>1. AI search controller manual review</t>
  </si>
  <si>
    <t>1. Autocomplete question part is completed manually</t>
  </si>
  <si>
    <t xml:space="preserve">Using azure db </t>
  </si>
  <si>
    <t xml:space="preserve">       </t>
  </si>
  <si>
    <t>Working on the logic and trying to implement for a demo</t>
  </si>
  <si>
    <t xml:space="preserve">Working on data profile ans understanding about documents to write my own profiles </t>
  </si>
  <si>
    <t xml:space="preserve">1.DB  FOR emergency metadata
</t>
  </si>
  <si>
    <t>know about data profile</t>
  </si>
  <si>
    <t>write my own profiles and cross check with lllms</t>
  </si>
  <si>
    <t>30/06/2026</t>
  </si>
  <si>
    <t>if any call occurs what kind of meta data they required to ask caller</t>
  </si>
  <si>
    <t xml:space="preserve">1. Figured out a way to find issue and tested with same query multiple times with same model
2. Generated a report of the exact issue what is happening and discussed with the officials, got insight to work on LLM API's
3. Tested rajeev sir's PMCS search application and comapring with the MVP, so to improve the new things into existing IntegrateUs sharepoint search. 
</t>
  </si>
  <si>
    <t>1. local using sqllite</t>
  </si>
  <si>
    <t>1.retrived a 911 transcripts from different sources 
2.discussing building logic with rajeev sir and nnr sir
3.drawbacks and improvments suggested rajeev sir</t>
  </si>
  <si>
    <t>1. First go through every step of the code to analyze where to reduce LLm calls and think if it can be fixed atleast for things
2. Get Groq API from Indra to make sure search works fine
3. Keep on testing with unique questions to improvise search</t>
  </si>
  <si>
    <t>1.Improvements on core logic
2.analysis on transcripts of 911 calls metadata</t>
  </si>
  <si>
    <t>2.DB  For non-emergency metadata</t>
  </si>
  <si>
    <t xml:space="preserve">1. Fixed AZure complainces on app service &amp; Databases
2. Analysed the Metadata Generated by Three different models (gpt5.4-mini ,claude-haiku-4.5 , llama-70b)
</t>
  </si>
  <si>
    <t xml:space="preserve">Tapasya </t>
  </si>
  <si>
    <t>Working on improving chat result in PMCS search
Working on related links feature</t>
  </si>
  <si>
    <t xml:space="preserve">should Work on showing topic related to question in the top from result  </t>
  </si>
  <si>
    <t>Complete all 6 steps in search</t>
  </si>
  <si>
    <t>Reviewed catalog LLM search API.</t>
  </si>
  <si>
    <t>3.DB For information metadata</t>
  </si>
  <si>
    <t xml:space="preserve">in that generations of llm data is not structure and they follow every time different structure with same input same model </t>
  </si>
  <si>
    <t xml:space="preserve">we figure drawback is wwe can't define structure because there are so many different types of data </t>
  </si>
  <si>
    <t xml:space="preserve">i write my own abstract,summary,topics,intent queries of a document and i do cross check with different models which absolute match our writings </t>
  </si>
  <si>
    <t xml:space="preserve">4.DB For audit logs </t>
  </si>
  <si>
    <t xml:space="preserve">1.created a sheet of project end to end flow
2.created techstack sheet 
3.analysied emergency calls for questions they ask </t>
  </si>
  <si>
    <t>Today Action Items :- 
1. Complete the possible Complainces fix in Storage
2. Document Storage account complainces fix which needs review
3. Networking diagrams of Each product &amp; Each services
4. Run the Pre-process on the metadata with 3 different models
5. Find out IVR project issues
6. Fix the issues in IVR project issues.
7. Complete the routine coding agent (Mac Mini US )</t>
  </si>
  <si>
    <t xml:space="preserve">implement db's for all that non-emergency's </t>
  </si>
  <si>
    <t xml:space="preserve">build dashboard </t>
  </si>
  <si>
    <t>Still have to R&amp;D to get accurate results and to reduce LLM calls.</t>
  </si>
  <si>
    <t xml:space="preserve">1. Should get API from Indra to test the logic
2. Should check alter models for llama 70b </t>
  </si>
  <si>
    <t xml:space="preserve">harshith </t>
  </si>
  <si>
    <t xml:space="preserve">Working on showing topic related to question in the top from result  </t>
  </si>
  <si>
    <t>develop the live data tracking and adding to preprocessing(metadata) looping</t>
  </si>
  <si>
    <t>using any html,css,js</t>
  </si>
  <si>
    <t xml:space="preserve">I am working on the instgram agent </t>
  </si>
  <si>
    <t xml:space="preserve"> I am currently double-checking everything to ensure all components are correct.</t>
  </si>
  <si>
    <t xml:space="preserve">1.Showing emergency trackings </t>
  </si>
  <si>
    <t>1. Review chat component.
2. Merge contracts &amp; Files into Existing search.</t>
  </si>
  <si>
    <t>CI/CD Integration document for the each product using Azure devops</t>
  </si>
  <si>
    <t>i check with different models with my own writings like gemini 3,gpt 5,grok model  in that i choose only that google ai studio with temprature is 0</t>
  </si>
  <si>
    <t xml:space="preserve">in that public models have temprature range is in 0.8 to 1 that's leads to we get different results and in that temprature in 0 model i get different results it did't match with my answers </t>
  </si>
  <si>
    <t>i wanna do prompt refinement and check generation which is better dependence or independence nothing but individual generation or all generations in at a time (abstract,summary,intent queries,topics,titles,...)</t>
  </si>
  <si>
    <t>2. non-emergency trackings</t>
  </si>
  <si>
    <t xml:space="preserve">implement db's for all that non-emergency's 
change nyc to boone county data research </t>
  </si>
  <si>
    <t xml:space="preserve">done db implementation 
found boone county rules what questions ask either emergency or non emergency </t>
  </si>
  <si>
    <t>change nyc to boone county</t>
  </si>
  <si>
    <t>1. reolve ngrok issue
2. Make sure search works fine with current logic
3. Document everything till now
4. Test the search with the existing llama model with the new API from Indra</t>
  </si>
  <si>
    <t xml:space="preserve">1. Ngrok issue resolved
2. current logic is working perfect
3. Testing is working perfgood with the </t>
  </si>
  <si>
    <t>1. Should complete the document
2. Should check for the alternative models for Llama model
3. Work to bring the narrative part before the source doc.First give the answer of the question then show the source doc.</t>
  </si>
  <si>
    <t xml:space="preserve">Testing </t>
  </si>
  <si>
    <t xml:space="preserve">develop the live data tracking and adding to preprocessing(metadata) looping
working on search related results 
</t>
  </si>
  <si>
    <t>Documentation</t>
  </si>
  <si>
    <t>jama and harshith and indra</t>
  </si>
  <si>
    <t xml:space="preserve">The Instagram agent is done </t>
  </si>
  <si>
    <t>Agent is done</t>
  </si>
  <si>
    <t>create golden answers and then do testing</t>
  </si>
  <si>
    <t>I need the credentials of social media platforms</t>
  </si>
  <si>
    <t xml:space="preserve">G jama </t>
  </si>
  <si>
    <t xml:space="preserve">i do prompt refinements and tried with individual generations getting different results and tried with few shot promptings  </t>
  </si>
  <si>
    <t xml:space="preserve">create a synthetic data bsed on nyc data non - emergency  </t>
  </si>
  <si>
    <t>some get accuracy 30% ,50,70% with generic prompts , getting good results in few shot prompting but not sure 80% in same prompt getting some times 40%,50% that like around average 60%</t>
  </si>
  <si>
    <t xml:space="preserve">working on how to create a schema for data </t>
  </si>
  <si>
    <t>using llm(claude sonnet 4..6) for creating synthetic data</t>
  </si>
  <si>
    <t>removed keyword search and only use llm to classify</t>
  </si>
  <si>
    <t>1. Documentation done
2. Remaining in progress
3. Tested rajeev sir's PMCS search and shared the report on results.</t>
  </si>
  <si>
    <t xml:space="preserve">create a synthetic data bsed on nyc data emergency  </t>
  </si>
  <si>
    <t>1. Continue to complete the narrative answer part in search</t>
  </si>
  <si>
    <t>Working on Documentation</t>
  </si>
  <si>
    <t>Research and Documentation on search packaging</t>
  </si>
  <si>
    <t>using llm( gemini 3.6 flash high) for creating synthetic data</t>
  </si>
  <si>
    <t>I was awaiting for the credentials to  integrating the social media platfroms for the digital marketing</t>
  </si>
  <si>
    <t>I need the credentails of unnanu india social media platforms</t>
  </si>
  <si>
    <t>1.emergency or non emergency testing in every user turn</t>
  </si>
  <si>
    <t>i tried to create that schema</t>
  </si>
  <si>
    <t xml:space="preserve">drawback i stuck in how handle different data, i tried but i get a long structure means 2 distnict doc getting different fields </t>
  </si>
  <si>
    <t>now doing with modules create modules and trigger that modules whenever that data has this modules</t>
  </si>
  <si>
    <t xml:space="preserve">based on combine keyword + llm classification we done it </t>
  </si>
  <si>
    <t>llm(llama 3.1 8b),python program</t>
  </si>
  <si>
    <t>retest with new architecture (emergency or non emergency testing in every user turn)</t>
  </si>
  <si>
    <t>Research and Documentation on search packaging
update with PMCS latest repo , work with indra</t>
  </si>
  <si>
    <t>Done documentation</t>
  </si>
  <si>
    <t>update with PMCS latest repo , work with indra</t>
  </si>
  <si>
    <t>1. Work on the summary of results before showing docs.</t>
  </si>
  <si>
    <t xml:space="preserve">Code broke when implemented changes </t>
  </si>
  <si>
    <t>1. Fix the broken code and work on summary and percentages of accuracy of the result.</t>
  </si>
  <si>
    <t xml:space="preserve">Working the email extractor to send the mails for the unnanu india pramotions </t>
  </si>
  <si>
    <t>sample UI for showing records of data</t>
  </si>
  <si>
    <t>Doing R&amp;d</t>
  </si>
  <si>
    <t>still working on R&amp;d</t>
  </si>
  <si>
    <t>working in modules in that modules are to be dynamic to trigger baased on that data</t>
  </si>
  <si>
    <t>drawback is that modules must be correct like any writings in that modules play's crucial roel in generation</t>
  </si>
  <si>
    <t xml:space="preserve">work in schema  , creating a schema </t>
  </si>
  <si>
    <t>emergency db</t>
  </si>
  <si>
    <t>1. Preprocessing of DIR Web content on using 3 different models ( Claude-haiku-4.5 , GPT5.4-mini , Llama-70B-versatile) 
2. Build catalog on PReprocessed data
3. Preprare 100 Golden set questions using claude code to evalute search</t>
  </si>
  <si>
    <t>using html,css,js</t>
  </si>
  <si>
    <t>non emergency db</t>
  </si>
  <si>
    <t xml:space="preserve">done but it is not showing up correct section from where it got the answer. </t>
  </si>
  <si>
    <t xml:space="preserve">1. Work on percentages of the result accuracies in autocomplete.
2. Manually check autocomplte questions to make sure results are 100% correct.
</t>
  </si>
  <si>
    <t>in progress(due to merge conflicts delayed)</t>
  </si>
  <si>
    <t>info db</t>
  </si>
  <si>
    <t xml:space="preserve">Still working on the email extraction from the recruting platforms </t>
  </si>
  <si>
    <t xml:space="preserve">pending </t>
  </si>
  <si>
    <t xml:space="preserve">still working on it </t>
  </si>
  <si>
    <t>i created schema for docs with generic prompts , getting good results for small docs if data is large then schema would be broken</t>
  </si>
  <si>
    <t xml:space="preserve">in that schema prompts should be good enough to create correct schema </t>
  </si>
  <si>
    <t>create a doc everything related to process to schema creation</t>
  </si>
  <si>
    <t>audit db</t>
  </si>
  <si>
    <t>1. Improved User intiuitiveness in DIR web search.
2.</t>
  </si>
  <si>
    <t>1. Work on percentages of the result accuracies in autocomplete.
2. Manually check autocomplete questions to make sure results are 100% correct.</t>
  </si>
  <si>
    <t>Autocomplete verification is done</t>
  </si>
  <si>
    <t>1. work on duplicate results
2. work on result percentages</t>
  </si>
  <si>
    <t>1. I check the all the other platforms like Indeed, naukari,and all recruting platforms but there is no chance to extract the recruiter emails from the indeed and the nakuri platforms.</t>
  </si>
  <si>
    <t>I was looking in to the another source to get the emails.</t>
  </si>
  <si>
    <t>working on the linkedin for the emails.</t>
  </si>
  <si>
    <t>start working on live changes</t>
  </si>
  <si>
    <t>i created doc approach of the preprocessing</t>
  </si>
  <si>
    <t xml:space="preserve">in that first step i stuck in prompts how to tell an llm to generate a data profile, like how structure is it </t>
  </si>
  <si>
    <t xml:space="preserve">consider one orgnaization documents and based on that organization data tell them create a data profile </t>
  </si>
  <si>
    <t>started working on live site changes
got access to pmcs admin 
analyzing and search query tracking</t>
  </si>
  <si>
    <t>Work on managing newly added  , updated , deleted data</t>
  </si>
  <si>
    <t xml:space="preserve">1. Frontend IVR PMCS logo is fixed
2. Azure Search Index issue is fixed in IVR
</t>
  </si>
  <si>
    <t>on progress</t>
  </si>
  <si>
    <t>Should fix the code and work on the duplicates</t>
  </si>
  <si>
    <t xml:space="preserve">Yes linedin is having the emails on there profiles i was trying to exract the emails from the linkedin </t>
  </si>
  <si>
    <t xml:space="preserve">Pending </t>
  </si>
  <si>
    <t>I want to R&amp;D on the tools to extarct the emails from the linkedin</t>
  </si>
  <si>
    <t>i consider jira organization dataset and write prompt for creating a data profile for this documents in perplexity</t>
  </si>
  <si>
    <t xml:space="preserve">in that it gives a structure , if give that structure to any llm it should follow that structure only and getting good results </t>
  </si>
  <si>
    <t>working on different organizations structures in ragbench data set</t>
  </si>
  <si>
    <t>continue</t>
  </si>
  <si>
    <t>Work on duplicates and test the accuracy of the narrative answer to the user</t>
  </si>
  <si>
    <t>I am working on the extracting the emails from the likedin using the google x-ray and the dom extraction</t>
  </si>
  <si>
    <t>Working on the linkedin Email extraction using the Dom</t>
  </si>
  <si>
    <t xml:space="preserve">consider that hubspot and create a structure of that hubspot internal data </t>
  </si>
  <si>
    <t>i create a structure for that hubspot data</t>
  </si>
  <si>
    <t xml:space="preserve">working with how that ragbench dataset were created </t>
  </si>
  <si>
    <t>1. List down completed and pending components in unnanu portal + customer Portal DEployment.
2. Verify the accuracy of DIR-WEB search with 100 Golden set eval
3. Verify pipeline scripting once and list down all the cons in it.</t>
  </si>
  <si>
    <t xml:space="preserve">1. Improved AI synthesised answer more intuitevely in DIR - WEB Search.
2.  Citation deep linking enabled, need to test tomorrow
3. Audited child links are failing, need to fix
4. There are 5 queries which i tested , failed , debugged the trace of the each query ( catalog gap found , fixed and pushed )
Feedback Required :- 
1. Rajeev P Nair Please test with your custom questions on https://azapp-websearch-uat.azurewebsites.net/
</t>
  </si>
  <si>
    <t>1. Verify citation deep linking 
2. Fix Child links pre-process and metadata enrichment for child links (files and pages)
3. Find the pending &amp; Completed components in both unnanu and customer portal.</t>
  </si>
  <si>
    <t>Accuracy is good</t>
  </si>
  <si>
    <t>1. Should work on duplicates</t>
  </si>
  <si>
    <t xml:space="preserve">I am working on the linkedin email extraction from the linkedin using the dom </t>
  </si>
  <si>
    <t>still I need to work on the linkedin extraction</t>
  </si>
  <si>
    <t xml:space="preserve">Implement Answer card in PMCS search </t>
  </si>
  <si>
    <t xml:space="preserve">finding different instructions of llms based on that particular organizations </t>
  </si>
  <si>
    <t xml:space="preserve">Understanding different instructions of different organizations </t>
  </si>
  <si>
    <t xml:space="preserve">finding how that enreprise rag data is generated dynamically </t>
  </si>
  <si>
    <t>Live sync with data</t>
  </si>
  <si>
    <t>1. Deep citation link completed, need to improve on the exact pointing out at answer.
2. Listed down all the pending components in search project.</t>
  </si>
  <si>
    <t>1. Design the Doc , Video , Audio , Image , Web processing
2. Work on When v/s how</t>
  </si>
  <si>
    <t>1. work on autocomplete narrative script
2. Work on duplicate files of sharepoint</t>
  </si>
  <si>
    <t>1. work on autocomplete narrative script
2. Work on duplicate files of sharepoint
3. Work on sections part to avoid duplicate titles for the sections displaying in the frontend.
4. Discuss with the team about integrating our search to sharepoint app.
5. Preview of each file should take that particular section pages in the front-end</t>
  </si>
  <si>
    <t>I am working on the bids</t>
  </si>
  <si>
    <t>I need work on the slack issue</t>
  </si>
  <si>
    <t xml:space="preserve">i work on enterprise rag data oynx company </t>
  </si>
  <si>
    <r>
      <rPr/>
      <t>they generated using 3 rules prompts,</t>
    </r>
    <r>
      <rPr>
        <color rgb="FF1155CC"/>
        <u/>
      </rPr>
      <t>agents.md</t>
    </r>
    <r>
      <rPr/>
      <t xml:space="preserve">,schema based on this they created fields </t>
    </r>
  </si>
  <si>
    <t>how this helps to consistency to created structure data</t>
  </si>
  <si>
    <t>Metadata sync ( 10 mins)
Catalog build (1 hr)</t>
  </si>
  <si>
    <t>Implementation Done</t>
  </si>
  <si>
    <t>1. Design the Doc , Video , Audio , Image , Web processing
2. Work on When v/s how
3. Deploy LLM on mac mini
4. Discuss Microsoft defender problems with sir</t>
  </si>
  <si>
    <t>1. Qwen3.5-9B-4Bit model loaded and available.
2. Drafted Sprint planning added priorities.
3. Prepared Dataset to evaluate Data coverage.
4. Validated gold eval set and ran againist v2.</t>
  </si>
  <si>
    <t>1. Discuss and list down Micorosft Defender Problems with Nageswarsrao Nannapaneni.
2. Work on When v/s How.
3. Design the Doc , Video , Audio , Image , Web processing.
4. Finalise the priorities on Sprints tasks and start working one by one.</t>
  </si>
  <si>
    <t xml:space="preserve">1. Autocomplete narrative script is working fine.
2. Preview of sections into particular page of the section is done. 
</t>
  </si>
  <si>
    <t xml:space="preserve">1. Work on duplicate files of sharepoint
2. Work on sections part to avoid duplicate titles for the sections displaying in the frontend.
3. Discuss with the team about integrating our search to sharepoint app.
</t>
  </si>
  <si>
    <t>saib</t>
  </si>
  <si>
    <t>I need to work with kavitha for unnanu india</t>
  </si>
  <si>
    <t>how this helps to consistency to created structure data and how it helps unnanu_preprocessing stage</t>
  </si>
  <si>
    <t>i figure out they follow different structure based on that data(Oynx)</t>
  </si>
  <si>
    <t>using that prompts i am gonna consider one enterprise organization then create metadata for that organization</t>
  </si>
  <si>
    <t>Working on :
new -&gt; Created date 
updated -&gt; last updated 
delete -&gt; make it inactive or flag it</t>
  </si>
  <si>
    <t>In Progress</t>
  </si>
  <si>
    <t>1. Section title duplicates should be resolved while preprocessing
2. Resolved the issue of duplicate section titles to the extent can be done.
3. Worked on packaging of the search to integrate into sharepoint</t>
  </si>
  <si>
    <t>1. Build the ready to integrate SPFx package 
2. Work with hemanth credentials to integrate the package into sharepoint.</t>
  </si>
  <si>
    <t>1. Discuss and list down Micorosft Defender Problems with Nageswarsrao Nannapaneni.
2. Work on When v/s How.
3. Building Query authored Lane V3 ( comparison of v1 vs v2 vs v3)
3. Design the Doc , Video , Audio , Image , Web processing.
4. Finalise the priorities on Sprints tasks and start working one by one.</t>
  </si>
  <si>
    <t>1. Comparison betweem RAG v/s wieghted lane done.
2.Built SQL Authored Query Lane.
3. Generate comparison report</t>
  </si>
  <si>
    <t>1. Deploy Qwen-3.5VL 
2. Work on solutioning of prioritising the tasks</t>
  </si>
  <si>
    <t>I am working on the slack isuue</t>
  </si>
  <si>
    <t>I need to check the issue of auto jobposting</t>
  </si>
  <si>
    <t xml:space="preserve">i created a system instructions of Unnanu_slack messages  </t>
  </si>
  <si>
    <t>Create a company ,data,audience profile dynamic not generic</t>
  </si>
  <si>
    <t>i am working on the slack issue and the auto jobposting issue</t>
  </si>
  <si>
    <t xml:space="preserve">Auto job_posting is done </t>
  </si>
  <si>
    <t>I need to work on the slack, bids</t>
  </si>
  <si>
    <t>1. Build the ready to integrate SPFx package 
2. Work with hemanth credentials to integrate the package into sharepoint.
3. Document process of integration idea.</t>
  </si>
  <si>
    <t xml:space="preserve">Deployed Sharepoint search package into IntegrateUS home page </t>
  </si>
  <si>
    <t>Should get insights and work on improvisation</t>
  </si>
  <si>
    <t>1. Deploy Qwen-2.5VL 
2. Work on solutioning of prioritising the tasks
3.</t>
  </si>
  <si>
    <t>1. Deployed 2.5 VL - 7 B - Instruct</t>
  </si>
  <si>
    <t>Create a company profile  dynamic not generic</t>
  </si>
  <si>
    <t>created a company profile based on the file it  is static fields but more sub fields</t>
  </si>
  <si>
    <t xml:space="preserve">work on execution how that comapny profile helps </t>
  </si>
  <si>
    <t>1. Run Evaluation tests on Rajeev sir logic.
2. Generate Catalog and autocomplete using Fable
3. Integrate Customer Portal and Search Project Deployment portal.
4. Verify PMCSServices domain certification.</t>
  </si>
  <si>
    <t>1. Ran evaluation test on Rajeev sir logic and given feedback on evaluation test
2. generated catalog and autocomplete using fable.
3. PMCS domain verification done.
4. Understanding the CSP and listed down the gaps for demo.
5. KB with harshith.</t>
  </si>
  <si>
    <t>I am working on the slack and bids</t>
  </si>
  <si>
    <t>1. the slack issue is done and bids also done</t>
  </si>
  <si>
    <t>work on the resume chat bot</t>
  </si>
  <si>
    <t>-</t>
  </si>
  <si>
    <t xml:space="preserve">work on creating different company profiles based on requirement </t>
  </si>
  <si>
    <t>1.create profiles  based on website data and examples of past created(fewshot examples) with different models 2. write system prompt  for profile creations ex pMCS,amazon  3.i validate amazon it writes good profile</t>
  </si>
  <si>
    <t xml:space="preserve">1.create workflow for profile creations 2.model selection </t>
  </si>
  <si>
    <t xml:space="preserve">Worked on Extending metadata sync and catalog rebuild time </t>
  </si>
  <si>
    <t>1. List down pending modules for Demo
2. Improvements of Eval Dataset
3. Implementation design draft for CSP</t>
  </si>
  <si>
    <t>working on the resume chatbot</t>
  </si>
  <si>
    <t>Pending</t>
  </si>
  <si>
    <t>I need to work on the resume chatbot</t>
  </si>
  <si>
    <t xml:space="preserve">1.created a profiles in 6 companies           2. tries with gemini ,chatgpt,claude models </t>
  </si>
  <si>
    <t xml:space="preserve">create a detailed report  try with different companies </t>
  </si>
  <si>
    <t>Implemented the Search Questions tracking with latest updated data in backend with query type SearchTapasya</t>
  </si>
  <si>
    <t xml:space="preserve">Done </t>
  </si>
  <si>
    <t xml:space="preserve">Prepare a Single pager for PMCS search+chat
work on how to package search for unnanu or any other website </t>
  </si>
  <si>
    <t xml:space="preserve">1. Implement One-Pager for Entire search Product. 
2.Implement DATA connector for mysql.
3. Implement Discovery Phase of Mysql.
4. Wrap Website Processing with REST API's .
5. Run &amp; Validate processing Pipeline.
</t>
  </si>
  <si>
    <t>1. Implemented one-pager.
2. Completed Azure resource inventory Mapping of MVP!,MVP2,Enterprise Search.</t>
  </si>
  <si>
    <t>1. Worked on CronJobs (metadata and catalog)
2. going throught customer deployment process in customer portal project</t>
  </si>
  <si>
    <t>working on the resume chat bot and bids</t>
  </si>
  <si>
    <t>Still working on the resume chat bot</t>
  </si>
  <si>
    <t xml:space="preserve">1.created different domains comapnies (different industries with same DIR is example) 2. add meta thinking model  3. after reading of that responses i get all were giving good </t>
  </si>
  <si>
    <t xml:space="preserve">make a detailed report with different models </t>
  </si>
  <si>
    <t>Work on issues</t>
  </si>
  <si>
    <t>1.Complete Azure Resouce Inventory Mapping.
2. Include Hybrid Search in one-pager comparison.
3. Make IVR Storage account access throgh API by making private containers.
4. List Down all the services uses unnanu Storage acccount.
5. Test and validate CSP Demo on website processing.</t>
  </si>
  <si>
    <t>1. Except miscelleneous ARIM done.
2. Fixed. IVR storage complaince.
3. MySQL Data connectors done.
4. Listed down the services using unnanu.</t>
  </si>
  <si>
    <t>1. Should work on Security Level permissions of Sharepoint for access.</t>
  </si>
  <si>
    <t>1. Continue working on the Permission levels.
2. Implement search for all the files of IntegrateUs sharepoint
3. Should update on changes made in the documents
4. Draw end-to-end architecture of the Sharpeoint search of IntegrateUs
5. Give one-Pager of AI Search for IntegrateUs Sharepoint.</t>
  </si>
  <si>
    <t>in progress</t>
  </si>
  <si>
    <t>created a detailed report</t>
  </si>
  <si>
    <t>Analysis of reports generated by bots</t>
  </si>
  <si>
    <t>1. Encountered few issues on Website search and solving
2. working on onepager(prompt shared by rajeev)</t>
  </si>
  <si>
    <t>Work on architecture of search</t>
  </si>
  <si>
    <t>1. Discuss the Storage account identity based approach with mahender.
2. Introspection eval-2 dataset , list down pros and cons of dataset.
3. Implementation of Discovery agent  
4. Integrate discovery agent to Search wizard.
5. Re-ordering of Search wizard.
6. Dry-run of search wizard.
7. Remove stale / Dead code from Processing-services ( Document,Image,audio,video)
8. Fix Blob anonymous access.</t>
  </si>
  <si>
    <t>1. Drafted One pager using Rajeev sir prompt.
2. Drafted the discovery agent workflow.
3. Reordering the workflow.
4. Confirm that the wizard’s reordering is correct.
5. Remove any remaining dead code from the four processing services, including document, image, and audio/video.
All four processing services are complete.</t>
  </si>
  <si>
    <t>1. One pager is done and delivered to rajeev sir.
2. Document updation done</t>
  </si>
  <si>
    <t>1. Continue working on the Permission levels.
2. Implement search for all the files of IntegrateUs sharepoint
3. Draw end-to-end architecture of the Sharpeoint search of IntegrateUs</t>
  </si>
  <si>
    <t>i am working resume chat bot and the bids</t>
  </si>
  <si>
    <t xml:space="preserve">1.getting contrdiction results 2.finally better to introduce human evoulation </t>
  </si>
  <si>
    <t>1.Try with API keys of everything</t>
  </si>
  <si>
    <t xml:space="preserve">1. Draw Architecture for PMCS website search (insights taken from nagi sir on friday)
2. researching on Search packaging </t>
  </si>
  <si>
    <t xml:space="preserve">test search on live data </t>
  </si>
  <si>
    <t xml:space="preserve">1. Deploy Llama 8B in mac-mini -Rajeev.
2. Fix all three compliance items for the 1.0 Storage Account.
   a. Restrict App Service access to a selected public network.
   b. Blob anonymous access is disabled. The task is complete, but the Talent Web App raised an exception; Mahinder will investigate.
  c. Rotation key: Mahinder is using a different ID. After he updates the code to the Anthropic ID, we will need to address each rotation individually.
3. Search Project wizard status. 
4. Introspecting of Eval-2 dataset. - Hold
5. Where am i on the accuracy phase.
</t>
  </si>
  <si>
    <t>1. Need confirmation from saib@unnanu.com to disbale Oauth Client secret.
2. Successfully deployed the 8‑billion‑parameter llama-3.1 LLM on the Mac mini using VLLM.
3. Blob Anonymous Access was disabled On Friday, but the TalentWeb app raised an exception. Mahendra will investigate once he receives feedback. After the issue is fixed, I will re‑disable it.
4. Regarding the rotation key, Mahinder and I worked on creating the idenity on Friday. We created an identity for the espally storage account and tested it on the p‑other API. After Mahinder completes testing, we will deploy it wherever it is used and then rotate the key.
5. Regarding public access to the storage account, we face two issues:
- There is no option to enable it by resource type; for both CDN and App Services we must add it manually.
- Adding the outbound component for the CDN is not feasible because the CDN is globally distributed, making it complex.
The simplest solution is to use the VNet. For App Services, the VNet costs $0.01 per hour (about $7.30 per month) plus $0.01 per GB of data processed. We also need to upgrade Fendo from Standard to Premium to enable this.
6.</t>
  </si>
  <si>
    <t>1. Worked on permissions of accounts in sharepoint but still needs to be verified and did R&amp;D on how to loop the search for all files integration</t>
  </si>
  <si>
    <t>I working on the bids , resume chatbot</t>
  </si>
  <si>
    <t>Bids are done, chatbot is still pending</t>
  </si>
  <si>
    <t>Continue working on the resume chat bot</t>
  </si>
  <si>
    <t xml:space="preserve">1.I selected models 
2.did't understand completely about thinking of a model </t>
  </si>
  <si>
    <t xml:space="preserve">1.learn more about thinking levels 
2.select which model to enable how much thinking level
3.after selecting generate data </t>
  </si>
  <si>
    <t xml:space="preserve">1. PMCS website is updated with new blog data , so testing live search
2. work on search issues
3. work on repo updation </t>
  </si>
  <si>
    <t>search issues and testing still in process</t>
  </si>
  <si>
    <t>1. Re-do the one-pager for PMCS
2. Gain knowledge on SEO,GEO, AEO
3. work paraprasing issue</t>
  </si>
  <si>
    <t>1. Preapre workflow of the branch protection settings.
2. Take screenshots for Evidence collection.
3. List down all backups we have,need to have.</t>
  </si>
  <si>
    <t xml:space="preserve">1. Collected Evidence for branch protection.
2. Workflow is prepared for branch protection reviewd  with Nageswarsrao Nannapaneni .
</t>
  </si>
  <si>
    <t>1. fetched permissions of each document level into database and should make it better for our next pipeline</t>
  </si>
  <si>
    <t>1. Continue working on the Permission levels.
2. Implement search for all the files of IntegrateUs sharepoint
3. Draw end-to-end architecture of the Sharpeoint search of IntegrateUs
4. Re-do the one-pager for sharepoint search.</t>
  </si>
  <si>
    <t>I am working on the resume chat .</t>
  </si>
  <si>
    <t>Continue working on the resume chat bot and n8n workflow</t>
  </si>
  <si>
    <t xml:space="preserve">1.i selected models but in benchmark datasets they are not good 
2. In thinking level selection MAX to everything ,because generate once only that profiles
</t>
  </si>
  <si>
    <t>1.based on becnchmark datasets consider models which are top performances
2.if they are reasoning models enable it max</t>
  </si>
  <si>
    <t>I am working on the resume chat bot and n8n workflow,bids</t>
  </si>
  <si>
    <t>Resume chatbot was done and i was testing the chatbot,i n8n workflow is pending,bids are pending</t>
  </si>
  <si>
    <t>I need to work on the bids, resumechatbot and n8n workflow</t>
  </si>
  <si>
    <t>1. Re-do the one-pager for PMCS
2. Gain knowledge on SEO,GEO, AEO
3. Work paraprasing issue</t>
  </si>
  <si>
    <t>1.Complete the changes mentioned by Madhu for the DIR one‑pager.
2. Prepare the infrastructure requirements and prerequisites for deploying the website search to the client.
3. Prepare an outline of all tasks needed to deploy the entire search product to the client, including dates and due dates.
4. Prepare a backup and recovery sheet by environment and product.
5. Prepare the action items for completion of Search Product.
6. List all the delegate action items.
7. Test Disabling anonymous access</t>
  </si>
  <si>
    <t>1.Completed the backup and recovery sheet by environment and product, and sent it to the NNR for review.
2. I completed the changes Madhu requested for the DIR One pager and sent the required email to Madhur,Rajeev and NNR.
3. Completed two compliance tests:
     1. Anonymous blob access for the Unnanu storage account
      2. Allowing public traffic for the SQL board
       Both are completed.
4. Action items are prepared, and an outline of all tasks with due dates for the product has been created.</t>
  </si>
  <si>
    <t xml:space="preserve">1. Re-do of one-pager done. Waiting for review
2. Discussed with Jama regarding model evaluation and trying to validate the best model for generating data profiles.
3. End-to-end architecture is done
4. Worked on full fledged sharepoint search </t>
  </si>
  <si>
    <t>1. Continue working on the Permission levels.
2. Implement search for all the files of IntegrateUs sharepoint</t>
  </si>
  <si>
    <t xml:space="preserve">1.create a dataset fields
2.domain adaption is primary concern  for any profile </t>
  </si>
  <si>
    <t>1.understand problem statement of Automated AI Non-Emergency Call Triaging System
2.Existing System reference
3.proposed System</t>
  </si>
  <si>
    <t xml:space="preserve">1. Continue working on the Permission levels.
2. Implement search for all the files of IntegrateUs sharepoint
3. Working with Jama to evaluate best model to generate data profile. </t>
  </si>
  <si>
    <t>1. Done with the one-pager</t>
  </si>
  <si>
    <t>1. Continue working on the Permission levels.
2. Implement search for all the files of IntegrateUs sharepoint
3. Working with Jama to evaluate best model to generate data profile.
4. Re-do the One-pager</t>
  </si>
  <si>
    <r>
      <rPr>
        <rFont val="Arial"/>
        <b/>
        <color theme="1"/>
      </rPr>
      <t xml:space="preserve">Search : - 
</t>
    </r>
    <r>
      <rPr>
        <rFont val="Arial"/>
        <color theme="1"/>
      </rPr>
      <t xml:space="preserve">1. Prepare the infrastructure requirements and prerequisites for deploying the website search to the client.
2. Complete today’s action items for the product.
</t>
    </r>
    <r>
      <rPr>
        <rFont val="Arial"/>
        <b/>
        <color theme="1"/>
      </rPr>
      <t xml:space="preserve">Complainces :- 
</t>
    </r>
    <r>
      <rPr>
        <rFont val="Arial"/>
        <color theme="1"/>
      </rPr>
      <t>1. Create an Azure architecture diagram for the Automated AI Non-Emergency Call Triaging System</t>
    </r>
  </si>
  <si>
    <t>1. I've completed the infrastructure requirements and the preview quizzes for the website search product.
2. In the Searc project action items were completed during the 30th activities.
3. Created an Azure solution architecture diagram and an Azure resource diagram for the non‑emergency call‑tracing system.</t>
  </si>
  <si>
    <t>I am working on the bids and the resume chatbot</t>
  </si>
  <si>
    <t>so the resume chatnotwas done and i was testing with the queries,bids are also done</t>
  </si>
  <si>
    <t>I need to work on the resume chatbot and the n8n workflow and linkedin chrome extension</t>
  </si>
  <si>
    <t>1. Continuing testing PMCS search 
2. Working on paraprasing
3. Working on updating One pager</t>
  </si>
  <si>
    <t xml:space="preserve">Done Updating one pager </t>
  </si>
  <si>
    <t>1. Continuing testing PMCS search 
2. Working on paraprasing</t>
  </si>
  <si>
    <t>1.understand problem statement 
2.understand Existing System
3.understand what that boon countey do
4.Understand proposed System</t>
  </si>
  <si>
    <t>1. go through proposed architecture 
2.Understand more about Problem statement
3.Go through proposed Dataflow</t>
  </si>
  <si>
    <t>In progress, one-pager done</t>
  </si>
  <si>
    <t xml:space="preserve">1. Continue working on the Permission levels.
2. Implement search for all the files of IntegrateUs sharepoint
3. Working with Jama to evaluate best model to generate data profile.
</t>
  </si>
  <si>
    <t>1. Continuing testing PMCS search 
2. Working on paraprasing
3. Update one pager</t>
  </si>
  <si>
    <t>Updated One pager and sharing word document to madhu and rajeev</t>
  </si>
  <si>
    <t xml:space="preserve">1. Complet the Search project action items for the 31st.
2. </t>
  </si>
  <si>
    <t>1. Completed the project action items for the 31st.</t>
  </si>
  <si>
    <t>1. I am working on the n8n automation of the montly transcrpit.
2. resume chatbot
3.Linkedin chrome extension.</t>
  </si>
  <si>
    <t>1. N8N automation is completed
2. resume chatbot is completed we need to test it.
3. Linkedin is pending</t>
  </si>
  <si>
    <t>1. go through on the linkedinextension and the resumechatbot.</t>
  </si>
  <si>
    <t xml:space="preserve">1.Understand more about Problem statement 
    -&gt; about what actually BCJC is 
     -&gt;what are the Examples of BCJC calls
     -&gt;what BCJC problem </t>
  </si>
  <si>
    <t>1.understand BCJC services
2.read some examples of BCJC calls
3.Understand problem</t>
  </si>
  <si>
    <t>1. go through proposed architecture 
2.data analysis of 311 emergency data 
3.build a knowledge base</t>
  </si>
  <si>
    <t>Third-party packages</t>
  </si>
  <si>
    <t>notes</t>
  </si>
  <si>
    <t>Standard-library modules(python)</t>
  </si>
  <si>
    <t>languages</t>
  </si>
  <si>
    <t>Notes</t>
  </si>
  <si>
    <t>openai&gt;=1.0</t>
  </si>
  <si>
    <t xml:space="preserve">OpenAI SDK is a Python library that helps your application communicate with an AI model through an HTTP API.
</t>
  </si>
  <si>
    <t>sqlite3</t>
  </si>
  <si>
    <r>
      <rPr>
        <rFont val="Arial"/>
        <b val="0"/>
        <color theme="1"/>
        <sz val="12.0"/>
      </rPr>
      <t xml:space="preserve">sqlite3 is built into Python and provides access to SQLite. SQLite itself is a database engine, but your Python code accesses it through the standard-library sqlite3 module.
</t>
    </r>
    <r>
      <rPr>
        <rFont val="Arial"/>
        <b/>
        <color theme="1"/>
        <sz val="14.0"/>
      </rPr>
      <t xml:space="preserve">
</t>
    </r>
  </si>
  <si>
    <t>python-dotenv&gt;=1.0</t>
  </si>
  <si>
    <t>load_dotenv() reads .env (gitignored) into os.environ once at process start, so the rest of the codebase can just call os.getenv(...) like the vars were always there — no per-developer shell profile setup, no secrets in source.</t>
  </si>
  <si>
    <t>os(operating system)</t>
  </si>
  <si>
    <t>os is a Python standard-library module for interacting with the operating system.</t>
  </si>
  <si>
    <t>gradio&gt;=4.0</t>
  </si>
  <si>
    <t>Gradio's Blocks API builds the two-pane chat + live-classification-panel tester in ~300 lines of pure Python. A Flask/FastAPI + hand-written HTML/JS front end would take far longer for what is explicitly a testing rig, not the production BCJC console.</t>
  </si>
  <si>
    <t>json</t>
  </si>
  <si>
    <t>json.loads() for deserializing JSON text into Python objects and json.dumps() for serializing Python objects into JSON text.</t>
  </si>
  <si>
    <t>pyyaml&gt;=6.0</t>
  </si>
  <si>
    <t>YAML over JSON/CSV specifically because it supports # comments and nested structure that non-engineers can still edit.</t>
  </si>
  <si>
    <t>re(regular expression)</t>
  </si>
  <si>
    <t>regex, is a pattern used to search, match, or extract parts of text.</t>
  </si>
  <si>
    <t>tqdm&gt;=4.0</t>
  </si>
  <si>
    <t>tqdm wraps the loop so a human running the eval sees live progress instead of a silent terminal</t>
  </si>
  <si>
    <t xml:space="preserve">uuid(Universally unique identifier) </t>
  </si>
  <si>
    <t>requests&gt;=2.0</t>
  </si>
  <si>
    <t>It is the local Python tool that sends and receives web requests. Requests provides a higher-level interface for HTTP operations such as GET and POST</t>
  </si>
  <si>
    <t>piper-tts&gt;=1.2.0</t>
  </si>
  <si>
    <t xml:space="preserve">loads and executes the model
</t>
  </si>
  <si>
    <t xml:space="preserve">datasets </t>
  </si>
  <si>
    <t>tools</t>
  </si>
  <si>
    <t>frameworks</t>
  </si>
  <si>
    <t xml:space="preserve">languages </t>
  </si>
  <si>
    <r>
      <rPr>
        <rFont val="Arial"/>
        <color theme="1"/>
      </rPr>
      <t xml:space="preserve">1. collect via internet  
2.  </t>
    </r>
    <r>
      <rPr>
        <rFont val="Arial"/>
        <b/>
        <color theme="1"/>
      </rPr>
      <t>311</t>
    </r>
    <r>
      <rPr>
        <rFont val="Arial"/>
        <color theme="1"/>
      </rPr>
      <t xml:space="preserve"> non emergency calls  </t>
    </r>
  </si>
  <si>
    <t>1. claude/perplexity for analyis of data</t>
  </si>
  <si>
    <t>Assigned_date</t>
  </si>
  <si>
    <t xml:space="preserve">activity </t>
  </si>
  <si>
    <t>status</t>
  </si>
  <si>
    <t>Assigned by</t>
  </si>
  <si>
    <t>try with api keys</t>
  </si>
  <si>
    <t>learn about thinking of a model</t>
  </si>
  <si>
    <t xml:space="preserve">prepare a evalution dataset for profile creations </t>
  </si>
  <si>
    <t>working</t>
  </si>
  <si>
    <t xml:space="preserve">1.after creating dataset create profiles with different models  and evaluate results
2.write a evaluation report </t>
  </si>
  <si>
    <t>planned</t>
  </si>
  <si>
    <t>Sprint Name</t>
  </si>
  <si>
    <t>Action items</t>
  </si>
  <si>
    <t>Platforms</t>
  </si>
  <si>
    <t>ETA</t>
  </si>
  <si>
    <t>Feat :- Unnanu Azure cloud integration for unnanu cloud.</t>
  </si>
  <si>
    <t>Unnanu &amp; Customer Portal.</t>
  </si>
  <si>
    <t xml:space="preserve">Feat : Azure cloud integration </t>
  </si>
  <si>
    <t xml:space="preserve">CPD &amp; SPD </t>
  </si>
  <si>
    <t xml:space="preserve">Feat : AWS Cloud integration </t>
  </si>
  <si>
    <t>Make pre-processing pipeline for Cloud agnostic and DB agnostic</t>
  </si>
  <si>
    <t>Custom Domain for deployed services</t>
  </si>
  <si>
    <t xml:space="preserve">SSO (single-sign on) Enterpise Authorisation </t>
  </si>
  <si>
    <t>Customer Portal</t>
  </si>
  <si>
    <t>GCP Specific</t>
  </si>
  <si>
    <t xml:space="preserve">Sprint 5 - Integration &amp; Demo Readiness </t>
  </si>
  <si>
    <t xml:space="preserve">Separate Customer Portal and search project deployment </t>
  </si>
  <si>
    <t>Customer Portal.</t>
  </si>
  <si>
    <t>• Split monorepo into 4 repos: CP FE, CP BE, SPD FE, SPD BE; repo structure, branch strategy &amp; dependency mapping</t>
  </si>
  <si>
    <t>2-3 days</t>
  </si>
  <si>
    <t>• Set up CI/CD pipelines for all 4 codebases across UAT &amp; PROD</t>
  </si>
  <si>
    <t>2 hours</t>
  </si>
  <si>
    <t>• Separate CP FE (Next.js) into its own codebase; update routes, env URLs, deep links</t>
  </si>
  <si>
    <t>• Separate SPD FE (Next.js) into its own codebase; update routes, env URLs, deep links</t>
  </si>
  <si>
    <t>• Remove tightly coupled shared FE modules; retain only reusable components/contracts</t>
  </si>
  <si>
    <t>• Separate CP BE (.Net 10) into its own codebase; reconfigure app settings, DB, auth</t>
  </si>
  <si>
    <t>1-2 days</t>
  </si>
  <si>
    <t>• Separate SPD BE (.Net 10) into its own codebase; reconfigure DB, cache, queue configs</t>
  </si>
  <si>
    <t>• Split shared BE services: auth, API contracts, logging, deployment hooks, background jobs</t>
  </si>
  <si>
    <t>• Reconfigure service-to-service communication &amp; endpoint management</t>
  </si>
  <si>
    <t>• Create App Service for each of the 4 repos (CP FE, CP BE, SPD FE, SPD BE) in UAT &amp; PROD</t>
  </si>
  <si>
    <t>1 day</t>
  </si>
  <si>
    <t>• Configure env variables, secrets, domains &amp; SSL for all 4 codebases across UAT &amp; PROD</t>
  </si>
  <si>
    <t>• Set up UAT &amp; PROD for CP FE: env configs, secrets, domains, build/release</t>
  </si>
  <si>
    <t>• Set up UAT &amp; PROD for CP BE: app settings, DB connections, API endpoints, deployment slots</t>
  </si>
  <si>
    <t>• Set up UAT &amp; PROD for SPD FE: env configs, API URLs, auth, deployment setup</t>
  </si>
  <si>
    <t>• Set up UAT &amp; PROD for SPD BE: app settings, DB/cache/queue, deployment slots</t>
  </si>
  <si>
    <t>• Reconnect &amp; validate SPD portal integrations post-split</t>
  </si>
  <si>
    <t>• End-to-end UAT testing for CP and SPD: smoke + regression</t>
  </si>
  <si>
    <t>2 days</t>
  </si>
  <si>
    <t>• PROD release checklist, rollback plan &amp; deployment verification</t>
  </si>
  <si>
    <t>Devops : Prepare both UAT &amp; Prod Environments</t>
  </si>
  <si>
    <t>All platforms</t>
  </si>
  <si>
    <t>• Configure app settings &amp; env variables for all 8 repos (CP FE/BE, SPD FE/BE, UCAP FE/BE, CPD FE/BE): API URLs, auth keys, DB connection strings, secrets, feature flags - UAT &amp; PROD</t>
  </si>
  <si>
    <t>1-2 day</t>
  </si>
  <si>
    <t>• Verify all pipeline scripting for all 8 repos (CP FE, CP BE, SPD FE, SPD BE, UCAP FE, UCAP BE, CPD FE, CPD BE) across UAT &amp; PROD</t>
  </si>
  <si>
    <t>• Configure CORS policies &amp; API gateway rules for all 8 repos (CP FE/BE, SPD FE/BE, UCAP FE/BE, CPD FE/BE) - UAT &amp; PROD</t>
  </si>
  <si>
    <t>• Enable HTTPS only, TLS 1.2+ &amp; SSL binding for all 8 App Services across UAT &amp; PROD</t>
  </si>
  <si>
    <t>• Configure staging deployment slots &amp; swap strategy for all 8 repos in PROD</t>
  </si>
  <si>
    <t>• Set up Azure Key Vault references for all secrets across all 8 App Services in UAT &amp; PROD</t>
  </si>
  <si>
    <t>• Configure Application Insights, health checks &amp; alert rules for all 8 App Services - UAT &amp; PROD</t>
  </si>
  <si>
    <t>Data collection from CUstomer portal to UCAP the billing , Licensing , Activity between Unnanu Portal &lt;---&gt; Customer Portal</t>
  </si>
  <si>
    <t>UCPA &amp; CP</t>
  </si>
  <si>
    <t>• Sync license tracking data from CP to UCAP: active licenses, plan types, expiry dates, seat counts per search project</t>
  </si>
  <si>
    <t>• Sync ticketing data from CP to UCAP: support tickets, issue status, priority, resolution time per customer</t>
  </si>
  <si>
    <t>• Sync activity logs from CP to UCAP: user actions, login history, feature usage, search query activity per customer</t>
  </si>
  <si>
    <t>• Sync billing data from CP to UCAP: invoices, payment status, subscription plans, overdue accounts per search project</t>
  </si>
  <si>
    <t>• Track search project customers in UCAP: profile, onboarding status, assigned SPD projects, active deployments</t>
  </si>
  <si>
    <t>• Track issues via ticketing in UCAP: open/closed tickets, SLA tracking, escalation status per customer</t>
  </si>
  <si>
    <t>• Track search project licensing in UCAP: license assignments, upgrades, renewals, violations per customer</t>
  </si>
  <si>
    <t>• Track billing health in UCAP: subscription status, failed payments, billing cycles, dunning per customer</t>
  </si>
  <si>
    <t>• Build admin dashboard in UCAP: consolidated view of licenses, tickets, activity, billing &amp; search project health</t>
  </si>
  <si>
    <t>3-5 days</t>
  </si>
  <si>
    <t>• Set up API/webhook between CP BE and UCAP BE for real-time data sync across all tracked entities</t>
  </si>
  <si>
    <t>3-4 days</t>
  </si>
  <si>
    <t>• Define RBAC permissions in UCAP: Unnanu admin can view/manage all CP customer data across search projects</t>
  </si>
  <si>
    <t>• Validate data sync accuracy in UAT: licensing, ticketing, activity, billing &amp; customer tracking modules</t>
  </si>
  <si>
    <t>Data source connectors - Storage services</t>
  </si>
  <si>
    <t>SPD</t>
  </si>
  <si>
    <t>• GCP Storage connector: implement Google Cloud Storage integration; auth via Service Account, bucket listing, file read/write/delete, metadata indexing</t>
  </si>
  <si>
    <t>• AWS S3 connector: implement Amazon S3 integration; auth via IAM roles/access keys, bucket/prefix listing, file read/write/delete, metadata indexing</t>
  </si>
  <si>
    <t>• SharePoint connector: implement SharePoint Online integration; auth via OAuth2/App registration, site/library listing, document read/index, delta sync</t>
  </si>
  <si>
    <t>4-5 days</t>
  </si>
  <si>
    <t>• OneDrive connector: implement OneDrive for Business integration; auth via Microsoft Graph API, folder/file listing, document read/index, delta sync</t>
  </si>
  <si>
    <t>• Google Drive connector: implement Google Drive integration; auth via OAuth2/Service Account, folder/file listing, document read/index, change tracking</t>
  </si>
  <si>
    <t>• Snowflake connector: implement Snowflake data warehouse integration; auth via key-pair/SSO, schema/table discovery, query execution, result indexing</t>
  </si>
  <si>
    <t>• BigQuery connector: implement Google BigQuery integration; auth via Service Account, dataset/table discovery, query execution, result indexing</t>
  </si>
  <si>
    <t>• Amazon Redshift connector: implement Redshift integration; auth via IAM/JDBC, schema/table discovery, query execution, result streaming &amp; indexing</t>
  </si>
  <si>
    <t>• Azure Synapse Analytics connector: implement Synapse integration; auth via Azure AD, workspace/pool discovery, SQL query execution, result indexing</t>
  </si>
  <si>
    <t>• Dropbox Business connector: implement Dropbox Business integration; auth via OAuth2, team folder listing, file read/index, change webhook support</t>
  </si>
  <si>
    <t>• Box Enterprise connector: implement Box Enterprise integration; auth via OAuth2/JWT, folder/file listing, document read/index, metadata &amp; event sync</t>
  </si>
  <si>
    <t>• SFTP / NFS connector: implement SFTP &amp; Network File System integration; auth via SSH key/password, directory listing, file read/index, scheduled sync</t>
  </si>
  <si>
    <t>• Unified connector config UI: allow customers to configure, test &amp; manage all storage connectors from CP settings panel</t>
  </si>
  <si>
    <t>• Connector health monitoring: implement connection status checks, error logging, retry logic &amp; alerts for all storage connectors</t>
  </si>
  <si>
    <t>• End-to-end testing of all storage connectors in UAT: file ingestion, indexing, search validation &amp; error handling</t>
  </si>
  <si>
    <t>3 days</t>
  </si>
  <si>
    <t xml:space="preserve">	MVP 2 Development</t>
  </si>
  <si>
    <t>Deployment of Preprocessing Services (Doc , Video , Audio , Image , Web) - In Cloud GPU (GCP )</t>
  </si>
  <si>
    <t>• Select &amp; finalize open-source multimodal LLMs: evaluate LLaVA, Qwen-VL, InternVL, Phi-3 Vision, Gemma 3 for doc/audio/video/image understanding</t>
  </si>
  <si>
    <t>• Set up GCP GPU instances (A100/L4/T4) with CUDA, cuDNN, Python env, Hugging Face Transformers &amp; vLLM/Ollama serving stack</t>
  </si>
  <si>
    <t>• Containerize multimodal LLM APIs using Docker with GPU runtime support; build separate containers per modality (doc, image, audio, video)</t>
  </si>
  <si>
    <t>• Deploy containerized LLM APIs on GCP GPU instances using GKE or Cloud Run GPU; configure autoscaling, health checks &amp; GPU resource limits</t>
  </si>
  <si>
    <t>• Implement document preprocessing pipeline: PDF/DOCX/PPTX parsing, chunking, multimodal LLM embedding via deployed API</t>
  </si>
  <si>
    <t>• Implement image preprocessing pipeline: image ingestion, CLIP/vision encoder via deployed multimodal LLM API, metadata &amp; caption extraction</t>
  </si>
  <si>
    <t>• Implement audio preprocessing pipeline: audio transcription via Whisper/multimodal LLM, chunking, embedding &amp; indexing</t>
  </si>
  <si>
    <t>• Implement video preprocessing pipeline: frame extraction, audio separation, multimodal LLM captioning per frame, temporal indexing</t>
  </si>
  <si>
    <t>• Implement web content preprocessing pipeline: URL crawling, HTML parsing, content extraction &amp; multimodal LLM summarization/embedding</t>
  </si>
  <si>
    <t>• Auto-integrate deployed LLM APIs into preprocessing services: dynamic endpoint injection at runtime via config/env variables - no hardcoded URLs</t>
  </si>
  <si>
    <t>• Implement IP protection &amp; code obfuscation: compile Python preprocessing services to bytecode (Cython/PyArmor); strip source from deployed containers</t>
  </si>
  <si>
    <t>• Implement encrypted config management: all LLM API endpoints, keys &amp; business logic configs stored in GCP Secret Manager; injected at runtime only</t>
  </si>
  <si>
    <t>• Ensure zero source code exposure: Docker images contain only compiled binaries; customers can access GCP instances but cannot read business logic or model routing</t>
  </si>
  <si>
    <t>• Implement API gateway layer: all preprocessing service calls route through internal gateway; LLM API selection, load balancing &amp; fallback handled automatically</t>
  </si>
  <si>
    <t>• Set up GPU utilization monitoring, LLM inference latency tracking &amp; alerting via GCP Cloud Monitoring &amp; Prometheus</t>
  </si>
  <si>
    <t>• End-to-end UAT validation: test all modalities (doc, image, audio, video, web) through preprocessing pipeline with deployed multimodal LLMs in GCP</t>
  </si>
  <si>
    <t>MVP - 2 Development</t>
  </si>
  <si>
    <t xml:space="preserve">Feat : Integrate Web search Package on drupal </t>
  </si>
  <si>
    <t>Search project Deployment portal</t>
  </si>
  <si>
    <t>• Wrap core search logic into a secured REST API: endpoints for query, index, suggest &amp; health check; no business logic exposed externally</t>
  </si>
  <si>
    <t>• Build Drupal custom module (unnanu_search): installable via Composer; module connects to the search API using a configurable API URL &amp; API key</t>
  </si>
  <si>
    <t>• Implement module admin config UI in Drupal: settings page for API URL, API key, search project ID, timeout &amp; environment (UAT/PROD)</t>
  </si>
  <si>
    <t>• Implement API URL auto-injection: after customer installs the Drupal package via SPD, the correct API URL is auto-populated from their search project config</t>
  </si>
  <si>
    <t>• Implement Drupal search block &amp; search results page: renders search UI, sends queries to core search API, displays ranked results with filters &amp; pagination</t>
  </si>
  <si>
    <t>• Implement authentication between Drupal module &amp; search API: API key validation, per-customer token scoping, rate limiting &amp; request signing</t>
  </si>
  <si>
    <t>• Package the Drupal module for Composer install: publish to Packagist or private registry; versioned releases aligned with SPD deployments</t>
  </si>
  <si>
    <t>• Implement IP protection for the Drupal module: obfuscate internal API routing logic; customers can configure API URL but cannot reverse-engineer core search logic</t>
  </si>
  <si>
    <t>• Implement graceful error handling in module: API timeout fallback, connection failure messages, retry logic &amp; admin alert notifications</t>
  </si>
  <si>
    <t>• Support multi-environment in module: single Drupal install can switch between UAT &amp; PROD search API URLs from admin settings</t>
  </si>
  <si>
    <t>• Write module installation documentation &amp; auto-setup guide: step-by-step Composer install, config steps &amp; SPD integration walkthrough</t>
  </si>
  <si>
    <t>• End-to-end UAT testing: install module on test Drupal site, configure API URL, run search queries &amp; validate results against core search API</t>
  </si>
  <si>
    <t>Pilot Release Readiness</t>
  </si>
  <si>
    <t xml:space="preserve">Feat : Integrate Sharepoint search </t>
  </si>
  <si>
    <t>• Build SharePoint Framework (SPFx) Web Part as a custom search experience: React-based search UI embedded natively inside SharePoint pages</t>
  </si>
  <si>
    <t>• Implement Azure AD OAuth2 authentication in SPFx app: tenant-level app registration, consent flow, token acquisition &amp; per-user scoped access</t>
  </si>
  <si>
    <t>• Implement API URL auto-injection: after customer connects search project via SPD/CP, the correct search API URL is auto-configured in the SPFx app settings</t>
  </si>
  <si>
    <t>• Integrate SPFx app with Customer Portal search API: send user queries to CP search API endpoint, receive &amp; render ranked results with filters &amp; pagination</t>
  </si>
  <si>
    <t>• Implement search UI in SharePoint: search bar, real-time suggestions, result cards with title/snippet/metadata, faceted filters &amp; relevance ranking</t>
  </si>
  <si>
    <t>• Implement per-customer API key &amp; token scoping: each SharePoint tenant gets isolated search API credentials provisioned from CP after auth</t>
  </si>
  <si>
    <t>• Package SPFx app as .sppkg for SharePoint App Catalog deployment: tenant-wide or site-collection scoped install via App Catalog</t>
  </si>
  <si>
    <t>• Implement silent background deployment via SPD: after customer authorizes, SPFx package is auto-deployed to their App Catalog without manual steps</t>
  </si>
  <si>
    <t>• Implement IP protection: SPFx bundle is minified &amp; obfuscated; API routing logic &amp; search business logic not readable from browser source</t>
  </si>
  <si>
    <t>• Support multi-environment (UAT/PROD): SPFx app reads API URL from CP-provisioned config; switchable without code changes</t>
  </si>
  <si>
    <t>• Implement error handling &amp; fallback UI: API timeout messages, auth failure prompts, retry logic &amp; admin notification inside SharePoint</t>
  </si>
  <si>
    <t>• Write deployment &amp; integration guide: step-by-step SharePoint App Catalog install, Azure AD app registration &amp; CP API connection walkthrough</t>
  </si>
  <si>
    <t>• End-to-end UAT testing: deploy SPFx app on test SharePoint tenant, authenticate via Azure AD, run search queries &amp; validate CP API integration</t>
  </si>
  <si>
    <t xml:space="preserve">Integrating website content for preprocessing -pipeine in search project  - by implementing website as data connector </t>
  </si>
  <si>
    <t>SPD Portal</t>
  </si>
  <si>
    <t>• Define website data connector architecture and API contracts for content ingestion</t>
  </si>
  <si>
    <t>• Implement web crawler and scraper for recursive URL fetching</t>
  </si>
  <si>
    <t>• Set up authentication (OAuth/API keys) for restricted website access</t>
  </si>
  <si>
    <t>• Build configuration UI in SPD Portal for website connector settings</t>
  </si>
  <si>
    <t xml:space="preserve">Modifying the Pre-processing pipeline for web content </t>
  </si>
  <si>
    <t>• 1. Data extraction: Implement HTML parsing to extract main text, tables, and media</t>
  </si>
  <si>
    <t>• 2. Data analysis: Analyze DOM structure to identify headers, footers, and sidebars</t>
  </si>
  <si>
    <t>• 3. Data cleansing: Remove boilerplate, scripts, styles, and irrelevant HTML tags</t>
  </si>
  <si>
    <t>• 4. Data preprocessing: Chunk extracted text and normalize encodings for embedding</t>
  </si>
  <si>
    <t>• 5. Data Enrichment: Generate summaries and extract metadata (title, author, keywords)</t>
  </si>
  <si>
    <t>• 6. Data Catalog building: Structure processed data into catalog schema for indexing</t>
  </si>
  <si>
    <t>• Integrate web preprocessing steps into the main GPU-based LLM pipeline</t>
  </si>
  <si>
    <t>• End-to-end testing of website data connector and preprocessing pipeline</t>
  </si>
  <si>
    <t>• Deploy web content preprocessing services to GCP instances</t>
  </si>
  <si>
    <t>MVP 2 Testing &amp; Refinement</t>
  </si>
  <si>
    <t>Testing CPD deployment</t>
  </si>
  <si>
    <t>CPD</t>
  </si>
  <si>
    <t>• Verify CPD deployment on UAT environment</t>
  </si>
  <si>
    <t>• Perform smoke testing for core CPD features</t>
  </si>
  <si>
    <t>• Conduct regression testing for existing functionalities</t>
  </si>
  <si>
    <t>• Validate production deployment readiness and rollback plan</t>
  </si>
  <si>
    <t>Testing SPD For DIR Web content</t>
  </si>
  <si>
    <t>• Test web crawler and content extraction accuracy</t>
  </si>
  <si>
    <t>• Validate HTML parsing and boilerplate removal</t>
  </si>
  <si>
    <t>• Verify metadata enrichment and summarization for web content</t>
  </si>
  <si>
    <t>Testing the Data collection from customer portal</t>
  </si>
  <si>
    <t>UCAP &amp; CP</t>
  </si>
  <si>
    <t>• Validate license and billing data synchronization</t>
  </si>
  <si>
    <t>• Test ticketing and activity log data collection</t>
  </si>
  <si>
    <t>• Verify admin dashboard data accuracy in UCAP</t>
  </si>
  <si>
    <t>Validating the data at each step in preprocessing pipeline</t>
  </si>
  <si>
    <t>• Validate document parsing and chunking accuracy , Metadata Enrichment</t>
  </si>
  <si>
    <t>• Test image preprocessing and caption extraction , Metadate Enrichment</t>
  </si>
  <si>
    <t>• Verify audio transcription and Metadate Enrichment</t>
  </si>
  <si>
    <t>• Validate video frame extraction and Metadate Enrichment</t>
  </si>
  <si>
    <t>• Test multimodal LLM Q&amp;A Quality</t>
  </si>
  <si>
    <t>• Perform end-to-end pipeline validation with sample datasets</t>
  </si>
  <si>
    <t>Integration &amp; Demo Readiness</t>
  </si>
  <si>
    <t xml:space="preserve">Working on E2E validation of 
from customer creation in UCAP then Customer Onboarding Portal and Customer SPD </t>
  </si>
  <si>
    <t>UCAP, CP, SPD</t>
  </si>
  <si>
    <t>• Validate end-to-end customer creation flow from UCAP to Customer Onboarding Portal</t>
  </si>
  <si>
    <t>• Verify search project deployment and configuration in Customer SPD</t>
  </si>
  <si>
    <t>• Test data synchronization between UCAP, CP, and SPD during onboarding</t>
  </si>
  <si>
    <t>• Validate RBAC and permission propagation across all portals</t>
  </si>
  <si>
    <t>• Perform user acceptance testing for the entire onboarding journey</t>
  </si>
  <si>
    <t>• Document E2E validation results and sign-off</t>
  </si>
  <si>
    <t>Security &amp; Penetration Testing</t>
  </si>
  <si>
    <t>All Platforms</t>
  </si>
  <si>
    <t>• Conduct vulnerability scanning and penetration testing on all deployed services</t>
  </si>
  <si>
    <t>• Remediate identified security vulnerabilities and misconfigurations</t>
  </si>
  <si>
    <t>• Perform final security review and sign-off</t>
  </si>
  <si>
    <t>Cost &amp; GPU Usage Monitoring</t>
  </si>
  <si>
    <t>GCP &amp; Azure</t>
  </si>
  <si>
    <t>• Set up cost alerts and budgets for GCP GPU instances and Azure App Services</t>
  </si>
  <si>
    <t>• Implement GPU utilization tracking and optimization strategies</t>
  </si>
  <si>
    <t>• Review and optimize resource allocation for production deployment</t>
  </si>
  <si>
    <t>User Documentation &amp; Guides</t>
  </si>
  <si>
    <t>• Create comprehensive user manuals for Customer Portal and SPD</t>
  </si>
  <si>
    <t>• Develop API integration guides and developer documentation</t>
  </si>
  <si>
    <t>• Prepare video tutorials and onboarding materials for end-users</t>
  </si>
  <si>
    <t>Disaster Recovery &amp; Rollback</t>
  </si>
  <si>
    <t>• Define and document disaster recovery procedures and RTO/RPO objectives</t>
  </si>
  <si>
    <t>• Implement automated database backups and restoration testing</t>
  </si>
  <si>
    <t>• Formulate and test rollback plans for failed production deployments</t>
  </si>
  <si>
    <t>Demo Script &amp; Dataset Prep</t>
  </si>
  <si>
    <t>• Prepare realistic demo datasets and sample documents for all data connectors</t>
  </si>
  <si>
    <t>• Develop comprehensive demo scripts highlighting key features and workflows</t>
  </si>
  <si>
    <t>• Conduct dry runs and refine demo presentation for stakeholders</t>
  </si>
  <si>
    <t xml:space="preserve">DIR-WEB Search Logic </t>
  </si>
  <si>
    <t>Citation Deep Links routing (Scroll to that section + Highlight of that part )</t>
  </si>
  <si>
    <t>Prepapre Query Dataset to validate catalog</t>
  </si>
  <si>
    <t xml:space="preserve">Validating Catalog through querying to test all the files are reachable </t>
  </si>
  <si>
    <t>Prepare Autocomplete Question with Catalog + Cananonical Questions</t>
  </si>
  <si>
    <t>Metadata Enrichment of Child Links in Pages 
Catalog adaption for this metadata</t>
  </si>
  <si>
    <t>Unnanu Preprocessing</t>
  </si>
  <si>
    <t xml:space="preserve">Create a structure data based on  organization it contains respective organization fields </t>
  </si>
  <si>
    <t xml:space="preserve">Github-Oynx prompts </t>
  </si>
  <si>
    <t>1. how they create structure data for different organizations</t>
  </si>
  <si>
    <t>2.how it is use for Unnanu preprocessing stage</t>
  </si>
  <si>
    <t xml:space="preserve">3.how much manual task is there </t>
  </si>
  <si>
    <t>4.which model they use and suggest</t>
  </si>
  <si>
    <t>Repo / Platform</t>
  </si>
  <si>
    <t>[P0} Include contracts data in Search.</t>
  </si>
  <si>
    <t>Add 2FA as OTP</t>
  </si>
  <si>
    <t>Sprint</t>
  </si>
  <si>
    <t>[P0] Draft Hardware and Software requirements in order to install this product in client</t>
  </si>
  <si>
    <t>Action item</t>
  </si>
  <si>
    <t>Drafted</t>
  </si>
  <si>
    <t>Prepare Hardware and Software requirements In order to install Search Product in Client.</t>
  </si>
  <si>
    <t>Platform</t>
  </si>
  <si>
    <t>Valid sub-task (codebase-grounded)</t>
  </si>
  <si>
    <t>[P0] Replace MD5 password hashing + stop storing plaintext passwords</t>
  </si>
  <si>
    <t>Priorities</t>
  </si>
  <si>
    <t>Not Started</t>
  </si>
  <si>
    <t>Type</t>
  </si>
  <si>
    <t>Migrate MD5 to bcrypt/Argon2 with a hash-migration path; remove plaintext password storage in the pass_org column</t>
  </si>
  <si>
    <t>Codebase anchor / note</t>
  </si>
  <si>
    <t>customer-portal-api; uai-platform-api; uai_platform_onboard_api</t>
  </si>
  <si>
    <t>Sprint 03 - MVP 2 Development</t>
  </si>
  <si>
    <t>[P0] Fix stale CI/CD pipelines post-split</t>
  </si>
  <si>
    <t>Add a real deploy stage; remove stale references to the old shared aiu-tenant-runtime-api image name</t>
  </si>
  <si>
    <t>customer-portal-api; search-project-api</t>
  </si>
  <si>
    <t>DIR Web Search accuracy 30% -&gt; 85%+ (file-link metadata + catalog expansion) [IN PROGRESS]</t>
  </si>
  <si>
    <t>SPD / Search API</t>
  </si>
  <si>
    <t>[P1] Connect MySQL/Drupal schema-discovery service to the extractor + wizard</t>
  </si>
  <si>
    <t>Partial</t>
  </si>
  <si>
    <t>Baseline the gold-set eval: run DIR-WEB/eval over gold_queries.csv (85 rows) vs the deployed v2 cascade; confirm start point (v2.0 p@1 29.3) and current v2.2 (p@1 44.8 / p@3 60.3) against the v1 baseline (p@1 56.9 / p@3 70.7)</t>
  </si>
  <si>
    <t>Expose search-project-discovery via the wizard's data-source step; hand off to drupal_mysql.py's extraction path</t>
  </si>
  <si>
    <t>search-project-discovery; website-processing; search-project-api; search-project-ui</t>
  </si>
  <si>
    <t>[P1] Fix silent exception swallowing in admin auth middleware</t>
  </si>
  <si>
    <t>P1</t>
  </si>
  <si>
    <t>Replace bare catch in AdminAuthMiddleware.cs:66-70 with logged exception handling so auth failures are visible</t>
  </si>
  <si>
    <t>uai-platform-api</t>
  </si>
  <si>
    <t>VERIFY</t>
  </si>
  <si>
    <t>0.5d</t>
  </si>
  <si>
    <t>[P2] Per-customer search-API key provisioning</t>
  </si>
  <si>
    <t>DIR-WEB/eval/eval_harness.py (local-only repo); handoff/CONTINUE.md</t>
  </si>
  <si>
    <t>Provisioning of search API keys if user provisioned.</t>
  </si>
  <si>
    <t>search-project-api</t>
  </si>
  <si>
    <t>Run queries comparison analysis on When v/s How ? , asking different kind of questions when,where,how,what,why kind of answering quesiton</t>
  </si>
  <si>
    <t>0.2 D</t>
  </si>
  <si>
    <t>[P0] Add real API-key auth + rate limiting to the production search API</t>
  </si>
  <si>
    <t>Enumerate file links already captured but unused: distinct PDF/DOCX/XLSX URLs from sections.block_links_json + mdta.registration_link + page body</t>
  </si>
  <si>
    <t>P2</t>
  </si>
  <si>
    <t>BUILD</t>
  </si>
  <si>
    <t>Replace NoOpAuthHandler (Program.cs:52-53) with real API-key validation middleware + a rate limiter</t>
  </si>
  <si>
    <t>unnanu-web-search-api-v10</t>
  </si>
  <si>
    <t>1d</t>
  </si>
  <si>
    <t>website-processing schema.sql:120 (block_links_json); enrichment currently EXCLUDES file content</t>
  </si>
  <si>
    <t>Parse the linked files with the existing document pipeline (PyMuPDF/docling OCR + table extraction) — reuse, don't rebuild</t>
  </si>
  <si>
    <t>[P1] Wire document/image/video/audio pipeline orchestration</t>
  </si>
  <si>
    <t>REUSE</t>
  </si>
  <si>
    <t>2d</t>
  </si>
  <si>
    <t>enterprise-ai-search-document/src/processors</t>
  </si>
  <si>
    <t>Make SearchProjectProcessingOrchestrator actually call the 5 modality services (Document , Image , Audio, Video , Website) via the existing but unused per-modality ingest_url config table.
Provisioning Required LLM models in azure / On-premise. Storing there configuration.</t>
  </si>
  <si>
    <t>Enrich extracted file text with the existing 3-model ensemble (summary/abstract/core_topic/intent_keywords); write file-scoped rows</t>
  </si>
  <si>
    <t>website-processing/src/enrichment/run_ensemble</t>
  </si>
  <si>
    <t>[P1] Build CP -&gt; UCAP sync (licenses/billing/activity/tickets)</t>
  </si>
  <si>
    <t>Add file metadata to schema: link each file to its parent page mdta (nid/source_url) + file title/type/topic columns</t>
  </si>
  <si>
    <t>new dir_aiu_web_files / extend dir_aiu_web_mdta (schema.sql:23)</t>
  </si>
  <si>
    <t>Add entities/API/webhook so customer-portal-api activity flows into UCAP's license/billing/ticket views</t>
  </si>
  <si>
    <t>uai-platform-api; customer-portal-api</t>
  </si>
  <si>
    <t>Expand catalog: generate/augment cards with file-derived metadata so file-answerable queries route (targets the 11/37 misses not in the v2 corpus)</t>
  </si>
  <si>
    <t>2-3d</t>
  </si>
  <si>
    <t>dir_aiu_web_catalog (schema.sql:216) + catalog generator</t>
  </si>
  <si>
    <t>[P0] Provision ML models selected by the user in the search wizard, on‑premise or in Azure.</t>
  </si>
  <si>
    <t>Re-run the gold eval; target p@1 &gt;85%; bucket residual misses (card gap / floor / ranking) via dir_web_search_trace and iterate</t>
  </si>
  <si>
    <t>In the search project wizard, provision the user‑selected models in the cloud via the infrastructure provisioner.</t>
  </si>
  <si>
    <t>dir_web_search_trace; CONFIDENCE_FLOOR=70 / LEX_FLOOR=0.05</t>
  </si>
  <si>
    <t>Search-project-api
Infrastructure-provision</t>
  </si>
  <si>
    <t>Locate/clone ingestion-pipeline service</t>
  </si>
  <si>
    <t>Identify the connector/ingestion backend CP calls (lib/data-source-api.ts uses same base URL as tenant-api); confirm whether it is a separate FastAPI repo in ADO or served by tenant-api</t>
  </si>
  <si>
    <t>[P2] Shared GPU serving stack (vLLM) across modalities</t>
  </si>
  <si>
    <t>Customer portal/lib/data-source-api.ts:29</t>
  </si>
  <si>
    <t>Share document repo's LLMManager/LOCAL_LLM_URL pattern across image/video/audio/website-processing; provision vLLM on GCP L4/A100</t>
  </si>
  <si>
    <t>enterprise-ai-search-document; enterprise-ai-search-image; enterprise-ai-search-video; enterprise-ai-search-audio; website-processing</t>
  </si>
  <si>
    <t>Clone it into the workspace (or document it lives inside tenant-api) so connector work has a home</t>
  </si>
  <si>
    <t>greenfield/locate</t>
  </si>
  <si>
    <t>[P0] Manual Review of Search-Query retrieval evaluation Dataset</t>
  </si>
  <si>
    <t>Dataset Prepared , need to review</t>
  </si>
  <si>
    <t>Branch hygiene for preprocessing repos</t>
  </si>
  <si>
    <t>Merge document (branch-Y), video (B_video), audio (dev) into their mainline so the dev/uat/main -&gt; env CI mapping fires</t>
  </si>
  <si>
    <t>[P0] Rotate plaintext secrets to Key Vault / env vars</t>
  </si>
  <si>
    <t>FIX</t>
  </si>
  <si>
    <t>0.5-1d</t>
  </si>
  <si>
    <t>Move DB passwords and API keys out of appsettings.json / appsettings.Development.json into Key Vault refs or env vars</t>
  </si>
  <si>
    <t>3 repos on non-standard default branches</t>
  </si>
  <si>
    <t>unnanu-web-search-api-v10; uai-platform-api; uai_platform_onboard_api; customer-portal-api; search-project-api</t>
  </si>
  <si>
    <t>[P1] Video service hardening</t>
  </si>
  <si>
    <t>Real authentication on the search API</t>
  </si>
  <si>
    <t>Add Dockerfile, CI pipeline, tests; move default SERVICE_PORT off 8504 (collides with audio)
Validatation of Video Processing Service API with local / Open source LLM models.
Build Auth layer API , Configuring the service through API.</t>
  </si>
  <si>
    <t>enterprise-ai-search-video</t>
  </si>
  <si>
    <t>Replace NoOpAuthHandler with an X-Api-Key handler validating against a keys table</t>
  </si>
  <si>
    <t>P3</t>
  </si>
  <si>
    <t xml:space="preserve">[P1] Fix image service </t>
  </si>
  <si>
    <t>unnanu-web-search-api-v10 Program.cs:53</t>
  </si>
  <si>
    <t>Replace stale byte-identical copy of document's pipeline with real mypy/bandit/pip-audit/pytest gates that actually run the 3 existing test files
Validatation of Image Processing Service API with local / Open source LLM models.
Build Auth layer API , Configuring the service through API.</t>
  </si>
  <si>
    <t>Require the key on dirsearch/v1 and dirsearch/v2; keep /health + swagger anonymous</t>
  </si>
  <si>
    <t>enterprise-ai-search-image</t>
  </si>
  <si>
    <t>CONFIG</t>
  </si>
  <si>
    <t>SearchController.cs (dirsearch/v1|v2 routes)</t>
  </si>
  <si>
    <t>[P1] Add test suite to document service</t>
  </si>
  <si>
    <t>Add per-key rate limiting via ASP.NET RateLimiter middleware</t>
  </si>
  <si>
    <t>Write a pytest suite matching the README's existing test claim (currently 0 test files)
Validatation of Video Processing Service API with local / Open source LLM models.
Build Auth layer API , Configuring the service through API.</t>
  </si>
  <si>
    <t>greenfield</t>
  </si>
  <si>
    <t>enterprise-ai-search-document</t>
  </si>
  <si>
    <t>Update db/smoke_test.sh to send the key; assert 401 without it</t>
  </si>
  <si>
    <t>0.25d</t>
  </si>
  <si>
    <t>unnanu-web-search-api-v10/db/smoke_test.sh</t>
  </si>
  <si>
    <t>[P1] website-processing</t>
  </si>
  <si>
    <t>29 pytest files exist but nothing runs them on push; only CI file is a cron-only weekly refresh job with no Dockerfile
Validatation of Website Processing Service API with local / Open source LLM models.
Build Auth layer API , Configuring the service through API.</t>
  </si>
  <si>
    <t>Per-customer search API key provisioning</t>
  </si>
  <si>
    <t>website-processing</t>
  </si>
  <si>
    <t>CP &amp; SPD</t>
  </si>
  <si>
    <t>Add a search_api_keys table + key generation on search-project creation in tenant-api</t>
  </si>
  <si>
    <t>greenfield (walkthrough contracts only carry GroqApiKey today)</t>
  </si>
  <si>
    <t>[P1] Resolve EF Core / MySQL provider version constraint</t>
  </si>
  <si>
    <t>Extend SearchProjectWalkthrough contracts to return the provisioned key</t>
  </si>
  <si>
    <t>Blocked (external dep)</t>
  </si>
  <si>
    <t>SearchProjectWalkthroughContracts.cs</t>
  </si>
  <si>
    <t xml:space="preserve">Pomelo.EntityFrameworkCore.MySql has no EF10 release yet; pinned to EF Core 8.x on net10.0 target; decide fallback before EF8 LTS ends Nov 2026
</t>
  </si>
  <si>
    <t>Show/copy the key in the CP search-project settings UI</t>
  </si>
  <si>
    <t>components/search</t>
  </si>
  <si>
    <t>[P2] Fine-grained RBAC in UCAP</t>
  </si>
  <si>
    <t>Video service hardening</t>
  </si>
  <si>
    <t>Prepare RBAC Policies for UCAP.
Add policy-based [Authorize(Policy=...)] attributes beyond the current binary admin/user check</t>
  </si>
  <si>
    <t>Write a Dockerfile mirroring audio's (msodbcsql18 + uvicorn FastAPI)</t>
  </si>
  <si>
    <t>copy enterprise-ai-search-audio/Dockerfile</t>
  </si>
  <si>
    <t>Change default SERVICE_PORT 8504 -&gt; 8505 to end the collision with audio</t>
  </si>
  <si>
    <t>[P2] Fine-grained RBAC in UCSP</t>
  </si>
  <si>
    <t>enterprise-ai-search-video config/settings.py</t>
  </si>
  <si>
    <t>Add azure-pipelines.yml (branch-&gt;env, ACR push) copying audio's</t>
  </si>
  <si>
    <t>Prepare RBAC Policies for UCSP.
Add policy-based [Authorize(Policy=...)] attributes beyond the current binary admin/user check</t>
  </si>
  <si>
    <t>Customer-portal-api</t>
  </si>
  <si>
    <t>copy audio azure-pipelines.yml</t>
  </si>
  <si>
    <t>Add a minimal pytest smoke for /process/sync</t>
  </si>
  <si>
    <t>greenfield (no tests exist)</t>
  </si>
  <si>
    <t>[P2] Consolidated admin dashboard</t>
  </si>
  <si>
    <t>Deploy preprocessing on GCP GPU with self-hosted multimodal LLM</t>
  </si>
  <si>
    <t>Build one unified view combining licenses/tickets/activity/billing/project health instead of separate per-domain pages</t>
  </si>
  <si>
    <t>uai-platform-ui</t>
  </si>
  <si>
    <t>Request GCP GPU quota (L4 to start) day 1; provision instance with CUDA + vLLM</t>
  </si>
  <si>
    <t>blocker if delayed</t>
  </si>
  <si>
    <t>Serve one multimodal model on an OpenAI-compatible endpoint; baseline = the existing self-hosted qwen3-30b</t>
  </si>
  <si>
    <t>[P2] Add frontend test coverage for wizard dev-mode UI</t>
  </si>
  <si>
    <t>1.5d</t>
  </si>
  <si>
    <t>service.unnanu.com:52415 (exo cluster)</t>
  </si>
  <si>
    <t>Point the document service at the GPU endpoint via LOCAL_LLM_URL (already supported)</t>
  </si>
  <si>
    <t>Only 1 test file / 2 assertions exist, none covering the new dev-mode auth/model/deployment paths</t>
  </si>
  <si>
    <t>search-project-ui</t>
  </si>
  <si>
    <t>document src/services/local_llm_service.py:51</t>
  </si>
  <si>
    <t>Replicate the LLMManager local-provider pattern into image, audio, video (they call Gemini/Groq directly today)</t>
  </si>
  <si>
    <t>document src/services/llm_manager.py</t>
  </si>
  <si>
    <t>[P2] Cleanup: delete orphaned mock API files</t>
  </si>
  <si>
    <t>Containerize each modality API (inference is remote, so no GPU in these images) and deploy to Cloud Run/GKE with the endpoint injected via env</t>
  </si>
  <si>
    <t>doc/img/audio Dockerfiles exist; video from hardening task</t>
  </si>
  <si>
    <t>Delete unused lib/mock-admin-api.ts and lib/mock-customer-api.ts (not imported anywhere)</t>
  </si>
  <si>
    <t>Verify each modality /ingest completes against the GPU LLM with no Gemini/Groq call in the path</t>
  </si>
  <si>
    <t>IP protection/obfuscation, encrypted config, API gateway</t>
  </si>
  <si>
    <t>DEFER</t>
  </si>
  <si>
    <t>[P2] Cleanup: delete leftover scaffold test file</t>
  </si>
  <si>
    <t>not needed for demo -&gt; stretch/post-demo</t>
  </si>
  <si>
    <t>Delete leftover UnitTest1.cs template test file</t>
  </si>
  <si>
    <t>Drupal MySQL DB connector (replaces manual XLSX)</t>
  </si>
  <si>
    <t>Add a MySQL reader in website-processing (pymysql already used in the image repo) to pull Drupal node/field content</t>
  </si>
  <si>
    <t>pattern from enterprise-ai-search-image (pymysql&gt;=1.1.1)</t>
  </si>
  <si>
    <t>[P2] Build S3 connector from scratch</t>
  </si>
  <si>
    <t>Map Drupal rows to the existing sections/enrichment input schema</t>
  </si>
  <si>
    <t>website-processing/main_pipeline.py</t>
  </si>
  <si>
    <t>Implement AWSSDK.S3-based connector; currently only a type-literal in lib/types.ts and an explicit stub in CloudAuthService.cs</t>
  </si>
  <si>
    <t>search-project-api; search-project-ui</t>
  </si>
  <si>
    <t>Swap ingest_xlsx.py's XLSX source for the MySQL source; keep chunking/enrichment/catalog unchanged</t>
  </si>
  <si>
    <t>website-processing/ingest_xlsx.py:40 (DEFAULT_XLSX)</t>
  </si>
  <si>
    <t>Parity-check row counts + content vs latest dir-search-catalog-v4.xlsx</t>
  </si>
  <si>
    <t>[P2] Add deployment slots for zero-downtime deploys</t>
  </si>
  <si>
    <t>Date</t>
  </si>
  <si>
    <t>Add slot-swap tasks to azure-pipelines.yml for both API and UI</t>
  </si>
  <si>
    <t>uai-platform-api; uai-platform-ui</t>
  </si>
  <si>
    <t>Website data connector (non-Drupal sites)</t>
  </si>
  <si>
    <t>Define the connector interface consistent with existing storage connectors</t>
  </si>
  <si>
    <t>[P2] Close wide-open CORS policy</t>
  </si>
  <si>
    <t>align with ingestion service</t>
  </si>
  <si>
    <t>Implement a generic crawler (requests + BeautifulSoup/Playwright) — none exists today</t>
  </si>
  <si>
    <t>Replace AllowAnyOrigin/AllowAnyHeader/AllowAnyMethod (Program.cs:63-64) with an explicit allow-list</t>
  </si>
  <si>
    <t>Add a crawler config step to the SearchProjectWizard connector UI</t>
  </si>
  <si>
    <t>components/search/steps</t>
  </si>
  <si>
    <t>Feed crawler output into the existing website-processing enrichment</t>
  </si>
  <si>
    <t>[P2] Implement SharePoint Graph API file sync</t>
  </si>
  <si>
    <t>OAuth token exchange already works; add actual Microsoft Graph API calls to list/sync SharePoint files</t>
  </si>
  <si>
    <t>customer-portal-api / search-project-api</t>
  </si>
  <si>
    <t>Web-content pre-processing steps</t>
  </si>
  <si>
    <t>Step 1 - HTML extraction: main text, tables, media</t>
  </si>
  <si>
    <t>Step 2 - DOM analysis: identify/strip header, footer, sidebar</t>
  </si>
  <si>
    <t>1-2d</t>
  </si>
  <si>
    <t>Step 3 - cleansing: remove boilerplate, scripts, styles</t>
  </si>
  <si>
    <t>Steps 4-6 - chunk / enrich / catalog</t>
  </si>
  <si>
    <t>ALREADY BUILT in website-processing (generate_catalog.py, sections chunker) - DO NOT REBUILD</t>
  </si>
  <si>
    <t>Wire steps 1-3 output into the existing chunker input</t>
  </si>
  <si>
    <t>Data collection CP -&gt; UCAP (moved up from Sprint 5)</t>
  </si>
  <si>
    <t>Add sync-target endpoints in UCAP for license/billing/activity/tickets (controllers already exist)</t>
  </si>
  <si>
    <t>uai-platform-api Licenses/Billing/Analytics/Support controllers</t>
  </si>
  <si>
    <t>Build a CP-BE -&gt; UCAP-BE webhook/API on the shared Azure SQL ai-search DB</t>
  </si>
  <si>
    <t>same server both point at</t>
  </si>
  <si>
    <t>Reuse AdminAuthMiddleware + aiu_unnanu_tokens for RBAC so Unnanu admin sees all CP data</t>
  </si>
  <si>
    <t>AdminAuthMiddleware</t>
  </si>
  <si>
    <t>Expose consolidated data endpoints the UCAP admin dashboard will read</t>
  </si>
  <si>
    <t>Un-mock UCAP UI</t>
  </si>
  <si>
    <t>UCAP FE</t>
  </si>
  <si>
    <t>Replace mock-admin-api.ts / mock-customer-api.ts calls with real fetches via lib/api-service.ts</t>
  </si>
  <si>
    <t>uai-platform-ui/lib/mock-admin-api.ts, mock-customer-api.ts, api-service.ts</t>
  </si>
  <si>
    <t>Wire real auth (auth-context) to uai-platform-api signin</t>
  </si>
  <si>
    <t>NEXT_PUBLIC_ADMIN_API_BASE_URL</t>
  </si>
  <si>
    <t>Delete the mock modules once dashboards read live data</t>
  </si>
  <si>
    <t>Drupal web-search package (unnanu_search)</t>
  </si>
  <si>
    <t>Confirm the secured REST API exposes query/suggest/health (depends on the auth task)</t>
  </si>
  <si>
    <t>SearchController dirsearch/v2</t>
  </si>
  <si>
    <t>Scaffold a Composer-installable Drupal 10 module</t>
  </si>
  <si>
    <t>Admin config form: API URL, API key, project ID, environment</t>
  </si>
  <si>
    <t>Search block + results page calling dirsearch/v2 with filters/pagination</t>
  </si>
  <si>
    <t>API-key auth + auto-injection of the API URL from the SPD project config</t>
  </si>
  <si>
    <t>depends on key provisioning</t>
  </si>
  <si>
    <t>Composer packaging + versioned release; install docs; UAT on a throwaway Drupal site</t>
  </si>
  <si>
    <t>Module IP obfuscation</t>
  </si>
  <si>
    <t>stretch</t>
  </si>
  <si>
    <t>■ SPRINT 04 - MVP 2 TESTING &amp; REFINEMENT ■</t>
  </si>
  <si>
    <t>Clone DIR-WEB eval harness</t>
  </si>
  <si>
    <t>Clone DIR-WEB (only existing Q&amp;A quality harness, web-only) into the workspace</t>
  </si>
  <si>
    <t>referenced in unnanu-web-search-api-v10/handoff, not cloned</t>
  </si>
  <si>
    <t>Bootstrap pytest in the document repo</t>
  </si>
  <si>
    <t>Add a minimal pytest suite (README claims pytest; zero test files exist)</t>
  </si>
  <si>
    <t>Validate each preprocessing step</t>
  </si>
  <si>
    <t>Build per-modality fixtures (doc/img/aud/vid)</t>
  </si>
  <si>
    <t>doc: assert chunk counts + metadata columns in dir_aiu_doc_sections</t>
  </si>
  <si>
    <t>img: extend the existing pytest suite with caption assertions</t>
  </si>
  <si>
    <t>Priority</t>
  </si>
  <si>
    <t>image repo has real tests</t>
  </si>
  <si>
    <t>Details</t>
  </si>
  <si>
    <t>Review</t>
  </si>
  <si>
    <t>aud/vid: assert transcript / frame + sections rows (video needs fixtures first)</t>
  </si>
  <si>
    <t xml:space="preserve"> Assinged</t>
  </si>
  <si>
    <t>Comments</t>
  </si>
  <si>
    <t>Onedrive or other Links</t>
  </si>
  <si>
    <t>Multimodal Q&amp;A quality via the DIR-WEB harness</t>
  </si>
  <si>
    <t>depends on DIR-WEB clone</t>
  </si>
  <si>
    <t>End-to-end pipeline run on sample datasets (doubles as demo-data prep)</t>
  </si>
  <si>
    <t>Evaluation and Manual Review of 300 Golden Dataset</t>
  </si>
  <si>
    <t>Test SPD DIR web content</t>
  </si>
  <si>
    <t>Parity: MySQL/crawler output vs the XLSX baseline</t>
  </si>
  <si>
    <t>Evaluation of LLM Models for Profile Creation</t>
  </si>
  <si>
    <t>Jama</t>
  </si>
  <si>
    <t>Architecture Diagrams for Product Wise</t>
  </si>
  <si>
    <t>Boilerplate-removal correctness on sample pages</t>
  </si>
  <si>
    <t>Enrichment/metadata present (reuse existing website-processing pytest)</t>
  </si>
  <si>
    <t>Test CPD (onboarding) deployment</t>
  </si>
  <si>
    <t>Run the onboarding wizard E2E on UAT; verify Terraform provisions tenant infra</t>
  </si>
  <si>
    <t>OnboardingController/ProvisioningController + Terraform GCP</t>
  </si>
  <si>
    <t>Smoke + regression on the onboarding + provisioning endpoints; validate rollback</t>
  </si>
  <si>
    <t>Test CP -&gt; UCAP data collection</t>
  </si>
  <si>
    <t>Seed license/ticket/billing/activity in CP -&gt; assert they surface via the UCAP API</t>
  </si>
  <si>
    <t>now testable (build moved to Sprint 3)</t>
  </si>
  <si>
    <t>Verify UCAP dashboard accuracy after the un-mock</t>
  </si>
  <si>
    <t>depends on un-mock task</t>
  </si>
  <si>
    <t>■ SPRINT 05 - INTEGRATION &amp; DEMO READINESS ■</t>
  </si>
  <si>
    <t>Separate CP and SPD into 4 repos</t>
  </si>
  <si>
    <t>Follow the onboard-repo extraction pattern (documented, proven)</t>
  </si>
  <si>
    <t>uai_platform_onboard_* READMEs</t>
  </si>
  <si>
    <t>Extract SPD FE = app/dashboard/search + components/search|unnanu_ui_package|customer_ui_package into a new repo</t>
  </si>
  <si>
    <t>Extract SPD BE = SearchprojectwalkthroughController + SearchProjectWalkthroughService (~4400 LOC) + 3 orchestrators + CatalogGenerationService</t>
  </si>
  <si>
    <t>CP FE = remaining app/dashboard; CP BE = TenantAccounts/CustomerData/TenantSetup controllers</t>
  </si>
  <si>
    <t>Upgrade tenant-api + onboard-api .NET 8 -&gt; 10 on a branch, gated by the walkthrough E2E test</t>
  </si>
  <si>
    <t>currently .NET 8</t>
  </si>
  <si>
    <t>Retain shared shadcn/ui components + lib/api.ts base-URL resolution (never change)</t>
  </si>
  <si>
    <t>lib/api.ts</t>
  </si>
  <si>
    <t>4 azure-pipelines.yml (branch-&gt;env ACR) + independent build/test green</t>
  </si>
  <si>
    <t>DevOps: Azure UAT &amp; PROD for all 8 repos</t>
  </si>
  <si>
    <t>Create 16 App Services (8 repos x UAT/PROD)</t>
  </si>
  <si>
    <t>Migrate tenant-api off GCP Cloud Run onto Azure App Service (its azure-pipelines.yml is legacy)</t>
  </si>
  <si>
    <t>aiu-cust-api-tr32 -&gt; Azure</t>
  </si>
  <si>
    <t>CORS, HTTPS/TLS1.2+, deployment slots, App Insights + health checks for all 8</t>
  </si>
  <si>
    <t>App Insights absent everywhere today</t>
  </si>
  <si>
    <t>Rotate plaintext credentials</t>
  </si>
  <si>
    <t>All BE</t>
  </si>
  <si>
    <t>Rotate DB creds committed in appsettings.json (uai-platform-api, onboard-api, both search APIs) and move to Key Vault references</t>
  </si>
  <si>
    <t>handoff/SECURITY-secrets-migration.md</t>
  </si>
  <si>
    <t>Replace MD5 password hashing</t>
  </si>
  <si>
    <t>CP BE</t>
  </si>
  <si>
    <t>Swap MD5 for bcrypt/Argon2 + migrate existing hashes on next signin</t>
  </si>
  <si>
    <t>Product</t>
  </si>
  <si>
    <t>TenantSetupController.cs:89</t>
  </si>
  <si>
    <t>Envrironmnet</t>
  </si>
  <si>
    <t>Component / Function</t>
  </si>
  <si>
    <t>Azure Services</t>
  </si>
  <si>
    <t>Service Name</t>
  </si>
  <si>
    <t>Fix the image repo's stale pipeline</t>
  </si>
  <si>
    <t>Wire the real mypy/bandit/pytest gates its README claims (currently a byte-copy of document's)</t>
  </si>
  <si>
    <t>enterprise-ai-search-image/azure-pipelines.yml</t>
  </si>
  <si>
    <t>Demo storage connectors (GCS, S3, SharePoint)</t>
  </si>
  <si>
    <t>GCS: implement using Google.Cloud.Storage.V1 (already in tenant-api csproj)</t>
  </si>
  <si>
    <t>tenant-api csproj has the SDK</t>
  </si>
  <si>
    <t>S3: add AWSSDK.S3 (only RDS/ECS present today) + bucket list/read/index</t>
  </si>
  <si>
    <t>s3' type exists in lib/types.ts</t>
  </si>
  <si>
    <t>SharePoint: reuse the existing OAuth callback + MS Graph read</t>
  </si>
  <si>
    <t>app/oauth/callback + 'sharepoint' type in lib/types.ts</t>
  </si>
  <si>
    <t>Wire all into the settings/connectors + sources UI (types already defined)</t>
  </si>
  <si>
    <t>lib/types.ts</t>
  </si>
  <si>
    <t>Connector health monitoring + E2E ingest-&gt;search per connector</t>
  </si>
  <si>
    <t>SharePoint SPFx search app</t>
  </si>
  <si>
    <t>Build the SPFx React web part (greenfield; no SPFx code exists)</t>
  </si>
  <si>
    <t>4d</t>
  </si>
  <si>
    <t>Azure AD OAuth2 — reuse the existing SharePoint OAuth app registration</t>
  </si>
  <si>
    <t>app/oauth/callback</t>
  </si>
  <si>
    <t>Integrate with the search API using the per-customer key (depends on Sprint 3 auth + key provisioning)</t>
  </si>
  <si>
    <t>Package as .sppkg + silent auto-deploy via SPD + UAT on a test SharePoint tenant</t>
  </si>
  <si>
    <t>3d</t>
  </si>
  <si>
    <t>procure M365 dev tenant early</t>
  </si>
  <si>
    <t>E2E validation UCAP -&gt; CPD -&gt; SPD</t>
  </si>
  <si>
    <t>Drive the full flow: customer creation in UCAP -&gt; onboarding -&gt; SPD project deploy -&gt; connector ingest -&gt; search</t>
  </si>
  <si>
    <t>flow exists end-to-end today</t>
  </si>
  <si>
    <t>Validate RBAC/permission propagation + document sign-off</t>
  </si>
  <si>
    <t>Security &amp; penetration testing</t>
  </si>
  <si>
    <t>Fix the 4 known issues BEFORE the scan: creds, NoOpAuth, MD5, localStorage session</t>
  </si>
  <si>
    <t>cross-ref rotate/MD5/auth tasks</t>
  </si>
  <si>
    <t>Run vulnerability scan + pentest, remediate, final sign-off</t>
  </si>
  <si>
    <t>Cost &amp; GPU monitoring</t>
  </si>
  <si>
    <t>GCP budgets + Cloud Monitoring for GPU utilization/latency; Azure cost alerts</t>
  </si>
  <si>
    <t>User documentation &amp; guides</t>
  </si>
  <si>
    <t>CP + SPD user manuals and API integration guides (only dev READMEs exist today)</t>
  </si>
  <si>
    <t>Video tutorials</t>
  </si>
  <si>
    <t>cut from demo scope</t>
  </si>
  <si>
    <t>Disaster recovery &amp; rollback</t>
  </si>
  <si>
    <t>Test Azure SQL backup restore (built-in backups exist; restore never tested)</t>
  </si>
  <si>
    <t>PROD rollback runbook (keep as P0; full DR drills deferred)</t>
  </si>
  <si>
    <t>Demo script &amp; dataset prep</t>
  </si>
  <si>
    <t>Build demo datasets per modality/connector (none exist in any repo)</t>
  </si>
  <si>
    <t>Write the demo script + 2 dry runs</t>
  </si>
  <si>
    <t>■ BACKLOG - SPRINT 07/08 ■</t>
  </si>
  <si>
    <t>Deferred storage connectors</t>
  </si>
  <si>
    <t>OneDrive, Google Drive, Snowflake, BigQuery, Redshift, Synapse, Dropbox, Box, SFTP/NFS</t>
  </si>
  <si>
    <t>cut from Sprint 5 demo scope; some UI types already exist in lib/types.ts</t>
  </si>
  <si>
    <t>Define action items for Sprints 6, 7, 9, 10</t>
  </si>
  <si>
    <t>Scope Stakeholder Demo, Feedback, Pilot Deployment, Production Readiness (sheet currently empty)</t>
  </si>
  <si>
    <t>scope Sprints 9-10 before Sprint 8 ends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</si>
</sst>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31">
    <font>
      <sz val="10.0"/>
      <color rgb="FF000000"/>
      <name val="Arial"/>
      <scheme val="minor"/>
    </font>
    <font>
      <b/>
      <color rgb="FF000000"/>
      <name val="Roboto"/>
    </font>
    <font>
      <b/>
      <color theme="1"/>
      <name val="Arial"/>
      <scheme val="minor"/>
    </font>
    <font>
      <b/>
      <sz val="11.0"/>
      <color rgb="FFFFFFFF"/>
      <name val="Calibri"/>
    </font>
    <font>
      <sz val="11.0"/>
      <color rgb="FFFFFFFF"/>
      <name val="Calibri"/>
    </font>
    <font>
      <color theme="1"/>
      <name val="Arial"/>
      <scheme val="minor"/>
    </font>
    <font>
      <sz val="11.0"/>
      <color theme="1"/>
      <name val="Calibri"/>
    </font>
    <font>
      <color rgb="FF000000"/>
      <name val="Roboto"/>
    </font>
    <font>
      <u/>
      <color rgb="FF0000FF"/>
    </font>
    <font/>
    <font>
      <u/>
      <color rgb="FF000000"/>
      <name val="Roboto"/>
    </font>
    <font>
      <u/>
      <color theme="1"/>
      <name val="Arial"/>
      <scheme val="minor"/>
    </font>
    <font>
      <u/>
      <color rgb="FF0000FF"/>
    </font>
    <font>
      <b/>
      <sz val="14.0"/>
      <color rgb="FFFFFFFF"/>
      <name val="Arial"/>
      <scheme val="minor"/>
    </font>
    <font>
      <sz val="12.0"/>
      <color rgb="FFFFFFFF"/>
      <name val="Arial"/>
      <scheme val="minor"/>
    </font>
    <font>
      <color rgb="FFFFFFFF"/>
      <name val="Arial"/>
      <scheme val="minor"/>
    </font>
    <font>
      <b/>
      <sz val="12.0"/>
      <color theme="1"/>
      <name val="Arial"/>
      <scheme val="minor"/>
    </font>
    <font>
      <sz val="12.0"/>
      <color theme="1"/>
      <name val="Arial"/>
      <scheme val="minor"/>
    </font>
    <font>
      <b/>
      <sz val="14.0"/>
      <color theme="1"/>
      <name val="Arial"/>
      <scheme val="minor"/>
    </font>
    <font>
      <b/>
      <sz val="15.0"/>
      <color theme="1"/>
      <name val="Arial"/>
      <scheme val="minor"/>
    </font>
    <font>
      <sz val="11.0"/>
      <color rgb="FF1D1C1D"/>
      <name val="Arial"/>
    </font>
    <font>
      <color theme="1"/>
      <name val="Arial"/>
    </font>
    <font>
      <sz val="11.0"/>
      <color rgb="FF1D1C1D"/>
      <name val="Slack-Lato"/>
    </font>
    <font>
      <b/>
      <color rgb="FF000000"/>
      <name val="Arial"/>
    </font>
    <font>
      <b/>
      <sz val="12.0"/>
      <color rgb="FF000000"/>
      <name val="Arial"/>
    </font>
    <font>
      <color rgb="FF000000"/>
      <name val="Arial"/>
    </font>
    <font>
      <b/>
      <sz val="13.0"/>
      <color theme="1"/>
      <name val="Arial"/>
      <scheme val="minor"/>
    </font>
    <font>
      <b/>
      <sz val="13.0"/>
      <color theme="1"/>
      <name val="Calibri"/>
    </font>
    <font>
      <sz val="11.0"/>
      <color theme="1"/>
      <name val="Aptos Narrow"/>
    </font>
    <font>
      <color rgb="FF13161A"/>
      <name val="Arial"/>
      <scheme val="minor"/>
    </font>
    <font>
      <u/>
      <color rgb="FF434343"/>
      <name val="Arial"/>
      <scheme val="minor"/>
    </font>
  </fonts>
  <fills count="18">
    <fill>
      <patternFill patternType="none"/>
    </fill>
    <fill>
      <patternFill patternType="lightGray"/>
    </fill>
    <fill>
      <patternFill patternType="solid">
        <fgColor rgb="FFC9DAF8"/>
        <bgColor rgb="FFC9DAF8"/>
      </patternFill>
    </fill>
    <fill>
      <patternFill patternType="solid">
        <fgColor rgb="FFA4C2F4"/>
        <bgColor rgb="FFA4C2F4"/>
      </patternFill>
    </fill>
    <fill>
      <patternFill patternType="solid">
        <fgColor rgb="FF1F40AF"/>
        <bgColor rgb="FF1F40AF"/>
      </patternFill>
    </fill>
    <fill>
      <patternFill patternType="solid">
        <fgColor rgb="FFFFFF00"/>
        <bgColor rgb="FFFFFF00"/>
      </patternFill>
    </fill>
    <fill>
      <patternFill patternType="solid">
        <fgColor theme="0"/>
        <bgColor theme="0"/>
      </patternFill>
    </fill>
    <fill>
      <patternFill patternType="solid">
        <fgColor rgb="FF0000FF"/>
        <bgColor rgb="FF0000FF"/>
      </patternFill>
    </fill>
    <fill>
      <patternFill patternType="solid">
        <fgColor rgb="FFFFFFFF"/>
        <bgColor rgb="FFFFFFFF"/>
      </patternFill>
    </fill>
    <fill>
      <patternFill patternType="solid">
        <fgColor rgb="FF00FF00"/>
        <bgColor rgb="FF00FF00"/>
      </patternFill>
    </fill>
    <fill>
      <patternFill patternType="solid">
        <fgColor rgb="FFB0CDEA"/>
        <bgColor rgb="FFB0CDEA"/>
      </patternFill>
    </fill>
    <fill>
      <patternFill patternType="solid">
        <fgColor rgb="FFFFE88B"/>
        <bgColor rgb="FFFFE88B"/>
      </patternFill>
    </fill>
    <fill>
      <patternFill patternType="solid">
        <fgColor rgb="FFBBEDC3"/>
        <bgColor rgb="FFBBEDC3"/>
      </patternFill>
    </fill>
    <fill>
      <patternFill patternType="solid">
        <fgColor rgb="FFFDB9C3"/>
        <bgColor rgb="FFFDB9C3"/>
      </patternFill>
    </fill>
    <fill>
      <patternFill patternType="solid">
        <fgColor rgb="FFDBECD1"/>
        <bgColor rgb="FFDBECD1"/>
      </patternFill>
    </fill>
    <fill>
      <patternFill patternType="solid">
        <fgColor rgb="FFD0D0D0"/>
        <bgColor rgb="FFD0D0D0"/>
      </patternFill>
    </fill>
    <fill>
      <patternFill patternType="solid">
        <fgColor rgb="FF00FFFF"/>
        <bgColor rgb="FF00FFFF"/>
      </patternFill>
    </fill>
    <fill>
      <patternFill patternType="solid">
        <fgColor rgb="FFF5F7FA"/>
        <bgColor rgb="FFF5F7FA"/>
      </patternFill>
    </fill>
  </fills>
  <borders count="1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5E5D60"/>
      </right>
    </border>
    <border>
      <right style="thin">
        <color rgb="FF5E5D60"/>
      </right>
      <bottom style="thin">
        <color rgb="FF5E5D60"/>
      </bottom>
    </border>
    <border>
      <left style="thin">
        <color rgb="FF9A9A9A"/>
      </left>
      <right style="thin">
        <color rgb="FF9A9A9A"/>
      </right>
      <top style="thin">
        <color rgb="FF9A9A9A"/>
      </top>
      <bottom style="thin">
        <color rgb="FF9A9A9A"/>
      </bottom>
    </border>
    <border>
      <left style="thin">
        <color rgb="FF9A9A9A"/>
      </left>
      <right style="thin">
        <color rgb="FF9A9A9A"/>
      </right>
      <top style="thin">
        <color rgb="FF9A9A9A"/>
      </top>
    </border>
    <border>
      <left style="thin">
        <color rgb="FF9A9A9A"/>
      </left>
      <right style="thin">
        <color rgb="FF000000"/>
      </right>
      <top style="thin">
        <color rgb="FF9A9A9A"/>
      </top>
      <bottom style="thin">
        <color rgb="FF9A9A9A"/>
      </bottom>
    </border>
    <border>
      <right style="thin">
        <color rgb="FF000000"/>
      </right>
    </border>
    <border>
      <left style="thin">
        <color rgb="FF000000"/>
      </left>
      <right style="thin">
        <color rgb="FF9A9A9A"/>
      </right>
      <top style="thin">
        <color rgb="FF9A9A9A"/>
      </top>
      <bottom style="thin">
        <color rgb="FF9A9A9A"/>
      </bottom>
    </border>
    <border>
      <left style="thin">
        <color rgb="FF9A9A9A"/>
      </left>
      <right style="thin">
        <color rgb="FF9A9A9A"/>
      </right>
    </border>
    <border>
      <left style="thin">
        <color rgb="FF9A9A9A"/>
      </left>
      <right style="thin">
        <color rgb="FF9A9A9A"/>
      </right>
      <bottom style="thin">
        <color rgb="FF9A9A9A"/>
      </bottom>
    </border>
    <border>
      <left style="thin">
        <color rgb="FF9A9A9A"/>
      </left>
      <right style="thin">
        <color rgb="FF9A9A9A"/>
      </right>
      <top style="thin">
        <color rgb="FF000000"/>
      </top>
      <bottom style="thin">
        <color rgb="FF000000"/>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9A9A9A"/>
      </top>
      <bottom style="thin">
        <color rgb="FF000000"/>
      </bottom>
    </border>
    <border>
      <left style="thin">
        <color rgb="FF000000"/>
      </left>
      <right style="thin">
        <color rgb="FF000000"/>
      </right>
      <top style="thin">
        <color rgb="FF000000"/>
      </top>
      <bottom style="thin">
        <color rgb="FF9A9A9A"/>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1"/>
    </xf>
    <xf borderId="0" fillId="2" fontId="1" numFmtId="0" xfId="0" applyAlignment="1" applyFont="1">
      <alignment horizontal="center" readingOrder="0" vertical="top"/>
    </xf>
    <xf borderId="0" fillId="3" fontId="2" numFmtId="0" xfId="0" applyAlignment="1" applyFill="1" applyFont="1">
      <alignment readingOrder="0"/>
    </xf>
    <xf borderId="0" fillId="2" fontId="1" numFmtId="0" xfId="0" applyAlignment="1" applyFont="1">
      <alignment horizontal="center" readingOrder="0" vertical="center"/>
    </xf>
    <xf borderId="1" fillId="4" fontId="3" numFmtId="0" xfId="0" applyAlignment="1" applyBorder="1" applyFill="1" applyFont="1">
      <alignment shrinkToFit="0" vertical="top" wrapText="1"/>
    </xf>
    <xf borderId="0" fillId="3" fontId="2" numFmtId="0" xfId="0" applyAlignment="1" applyFont="1">
      <alignment readingOrder="0" shrinkToFit="0" wrapText="1"/>
    </xf>
    <xf borderId="0" fillId="4" fontId="4" numFmtId="0" xfId="0" applyAlignment="1" applyFont="1">
      <alignment readingOrder="0" shrinkToFit="0" vertical="top" wrapText="1"/>
    </xf>
    <xf borderId="0" fillId="2" fontId="1" numFmtId="0" xfId="0" applyAlignment="1" applyFont="1">
      <alignment horizontal="center" readingOrder="0" shrinkToFit="0" vertical="center" wrapText="1"/>
    </xf>
    <xf borderId="0" fillId="0" fontId="5" numFmtId="0" xfId="0" applyAlignment="1" applyFont="1">
      <alignment readingOrder="0"/>
    </xf>
    <xf borderId="1" fillId="4" fontId="3" numFmtId="0" xfId="0" applyAlignment="1" applyBorder="1" applyFont="1">
      <alignment shrinkToFit="0" vertical="top" wrapText="1"/>
    </xf>
    <xf borderId="0" fillId="2" fontId="1" numFmtId="0" xfId="0" applyAlignment="1" applyFont="1">
      <alignment horizontal="left" readingOrder="0" shrinkToFit="0" vertical="top" wrapText="1"/>
    </xf>
    <xf borderId="0" fillId="0" fontId="5" numFmtId="0" xfId="0" applyAlignment="1" applyFont="1">
      <alignment shrinkToFit="0" wrapText="1"/>
    </xf>
    <xf borderId="0" fillId="2" fontId="1" numFmtId="0" xfId="0" applyAlignment="1" applyFont="1">
      <alignment readingOrder="0" shrinkToFit="0" vertical="top" wrapText="1"/>
    </xf>
    <xf borderId="0" fillId="2" fontId="1" numFmtId="0" xfId="0" applyAlignment="1" applyFont="1">
      <alignment horizontal="left" readingOrder="0" shrinkToFit="0" wrapText="1"/>
    </xf>
    <xf borderId="1" fillId="4" fontId="3" numFmtId="0" xfId="0" applyAlignment="1" applyBorder="1" applyFont="1">
      <alignment readingOrder="0" shrinkToFit="0" vertical="top" wrapText="1"/>
    </xf>
    <xf borderId="0" fillId="2" fontId="5" numFmtId="0" xfId="0" applyAlignment="1" applyFont="1">
      <alignment readingOrder="0" shrinkToFit="0" vertical="top" wrapText="1"/>
    </xf>
    <xf borderId="0" fillId="0" fontId="6" numFmtId="0" xfId="0" applyAlignment="1" applyFont="1">
      <alignment vertical="bottom"/>
    </xf>
    <xf borderId="0" fillId="2" fontId="5" numFmtId="0" xfId="0" applyAlignment="1" applyFont="1">
      <alignment readingOrder="0"/>
    </xf>
    <xf borderId="0" fillId="0" fontId="5" numFmtId="164" xfId="0" applyAlignment="1" applyFont="1" applyNumberFormat="1">
      <alignment horizontal="center" readingOrder="0" shrinkToFit="0" vertical="top" wrapText="1"/>
    </xf>
    <xf borderId="0" fillId="0" fontId="5" numFmtId="0" xfId="0" applyAlignment="1" applyFont="1">
      <alignment shrinkToFit="0" vertical="top" wrapText="1"/>
    </xf>
    <xf borderId="2" fillId="0" fontId="1" numFmtId="0" xfId="0" applyAlignment="1" applyBorder="1" applyFont="1">
      <alignment horizontal="center" readingOrder="0" vertical="top"/>
    </xf>
    <xf borderId="0" fillId="0" fontId="5" numFmtId="0" xfId="0" applyAlignment="1" applyFont="1">
      <alignment readingOrder="0" shrinkToFit="0" wrapText="1"/>
    </xf>
    <xf borderId="1" fillId="0" fontId="7" numFmtId="0" xfId="0" applyAlignment="1" applyBorder="1" applyFont="1">
      <alignment horizontal="center" readingOrder="0" vertical="center"/>
    </xf>
    <xf borderId="0" fillId="0" fontId="5" numFmtId="0" xfId="0" applyAlignment="1" applyFont="1">
      <alignment readingOrder="0" shrinkToFit="0" vertical="top" wrapText="1"/>
    </xf>
    <xf borderId="1" fillId="0" fontId="7" numFmtId="0" xfId="0" applyAlignment="1" applyBorder="1" applyFont="1">
      <alignment horizontal="left" readingOrder="0" shrinkToFit="0" vertical="top" wrapText="1"/>
    </xf>
    <xf borderId="0" fillId="0" fontId="5" numFmtId="164" xfId="0" applyAlignment="1" applyFont="1" applyNumberFormat="1">
      <alignment readingOrder="0" shrinkToFit="0" vertical="top" wrapText="1"/>
    </xf>
    <xf borderId="0" fillId="0" fontId="8" numFmtId="0" xfId="0" applyAlignment="1" applyFont="1">
      <alignment readingOrder="0"/>
    </xf>
    <xf borderId="1" fillId="0" fontId="7" numFmtId="0" xfId="0" applyAlignment="1" applyBorder="1" applyFont="1">
      <alignment shrinkToFit="0" vertical="top" wrapText="1"/>
    </xf>
    <xf borderId="1" fillId="0" fontId="7" numFmtId="0" xfId="0" applyAlignment="1" applyBorder="1" applyFont="1">
      <alignment readingOrder="0" shrinkToFit="0" vertical="top" wrapText="1"/>
    </xf>
    <xf borderId="3" fillId="0" fontId="9" numFmtId="0" xfId="0" applyBorder="1" applyFont="1"/>
    <xf borderId="1" fillId="0" fontId="5" numFmtId="0" xfId="0" applyAlignment="1" applyBorder="1" applyFont="1">
      <alignment readingOrder="0" shrinkToFit="0" vertical="bottom" wrapText="1"/>
    </xf>
    <xf borderId="0" fillId="0" fontId="5" numFmtId="0" xfId="0" applyAlignment="1" applyFont="1">
      <alignment horizontal="left" readingOrder="0" shrinkToFit="0" vertical="top" wrapText="1"/>
    </xf>
    <xf borderId="0" fillId="0" fontId="5" numFmtId="0" xfId="0" applyAlignment="1" applyFont="1">
      <alignment readingOrder="0" vertical="top"/>
    </xf>
    <xf borderId="0" fillId="0" fontId="5" numFmtId="0" xfId="0" applyAlignment="1" applyFont="1">
      <alignment horizontal="center" shrinkToFit="0" vertical="top" wrapText="1"/>
    </xf>
    <xf borderId="1" fillId="0" fontId="10" numFmtId="0" xfId="0" applyAlignment="1" applyBorder="1" applyFont="1">
      <alignment readingOrder="0" shrinkToFit="0" vertical="top" wrapText="1"/>
    </xf>
    <xf borderId="4" fillId="0" fontId="9" numFmtId="0" xfId="0" applyBorder="1" applyFont="1"/>
    <xf borderId="0" fillId="0" fontId="1" numFmtId="0" xfId="0" applyAlignment="1" applyFont="1">
      <alignment horizontal="center" readingOrder="0" vertical="top"/>
    </xf>
    <xf borderId="0" fillId="0" fontId="5" numFmtId="0" xfId="0" applyAlignment="1" applyFont="1">
      <alignment horizontal="center" vertical="center"/>
    </xf>
    <xf borderId="0" fillId="0" fontId="5" numFmtId="0" xfId="0" applyAlignment="1" applyFont="1">
      <alignment horizontal="center" readingOrder="0" vertical="center"/>
    </xf>
    <xf borderId="0" fillId="0" fontId="2" numFmtId="0" xfId="0" applyAlignment="1" applyFont="1">
      <alignment readingOrder="0"/>
    </xf>
    <xf borderId="0" fillId="0" fontId="2" numFmtId="0" xfId="0" applyAlignment="1" applyFont="1">
      <alignment horizontal="center" readingOrder="0" vertical="top"/>
    </xf>
    <xf borderId="0" fillId="5" fontId="2" numFmtId="164" xfId="0" applyAlignment="1" applyFill="1" applyFont="1" applyNumberFormat="1">
      <alignment horizontal="center" readingOrder="0" vertical="top"/>
    </xf>
    <xf borderId="0" fillId="6" fontId="2" numFmtId="164" xfId="0" applyAlignment="1" applyFill="1" applyFont="1" applyNumberFormat="1">
      <alignment horizontal="center" readingOrder="0" vertical="top"/>
    </xf>
    <xf borderId="0" fillId="0" fontId="5" numFmtId="0" xfId="0" applyAlignment="1" applyFont="1">
      <alignment horizontal="left" readingOrder="0" shrinkToFit="0" wrapText="1"/>
    </xf>
    <xf borderId="0" fillId="0" fontId="11" numFmtId="0" xfId="0" applyAlignment="1" applyFont="1">
      <alignment readingOrder="0" shrinkToFit="0" wrapText="1"/>
    </xf>
    <xf borderId="0" fillId="0" fontId="12" numFmtId="0" xfId="0" applyAlignment="1" applyFont="1">
      <alignment readingOrder="0" shrinkToFit="0" wrapText="1"/>
    </xf>
    <xf borderId="0" fillId="0" fontId="5" numFmtId="0" xfId="0" applyAlignment="1" applyFont="1">
      <alignment readingOrder="0" shrinkToFit="0" wrapText="1"/>
    </xf>
    <xf borderId="0" fillId="0" fontId="2" numFmtId="164" xfId="0" applyAlignment="1" applyFont="1" applyNumberFormat="1">
      <alignment horizontal="center" readingOrder="0" vertical="top"/>
    </xf>
    <xf borderId="0" fillId="0" fontId="5" numFmtId="0" xfId="0" applyAlignment="1" applyFont="1">
      <alignment readingOrder="0" shrinkToFit="0" vertical="center" wrapText="1"/>
    </xf>
    <xf borderId="0" fillId="7" fontId="13" numFmtId="0" xfId="0" applyAlignment="1" applyFill="1" applyFont="1">
      <alignment readingOrder="0" shrinkToFit="0" vertical="top" wrapText="1"/>
    </xf>
    <xf borderId="0" fillId="7" fontId="14" numFmtId="0" xfId="0" applyAlignment="1" applyFont="1">
      <alignment readingOrder="0" shrinkToFit="0" vertical="top" wrapText="1"/>
    </xf>
    <xf borderId="0" fillId="7" fontId="15" numFmtId="0" xfId="0" applyFont="1"/>
    <xf borderId="0" fillId="0" fontId="16" numFmtId="0" xfId="0" applyAlignment="1" applyFont="1">
      <alignment readingOrder="0" shrinkToFit="0" vertical="top" wrapText="1"/>
    </xf>
    <xf borderId="0" fillId="0" fontId="17" numFmtId="0" xfId="0" applyAlignment="1" applyFont="1">
      <alignment readingOrder="0" shrinkToFit="0" vertical="top" wrapText="1"/>
    </xf>
    <xf borderId="0" fillId="0" fontId="18" numFmtId="0" xfId="0" applyAlignment="1" applyFont="1">
      <alignment readingOrder="0" shrinkToFit="0" vertical="top" wrapText="1"/>
    </xf>
    <xf borderId="0" fillId="0" fontId="18" numFmtId="0" xfId="0" applyAlignment="1" applyFont="1">
      <alignment shrinkToFit="0" vertical="top" wrapText="1"/>
    </xf>
    <xf borderId="0" fillId="0" fontId="17" numFmtId="0" xfId="0" applyAlignment="1" applyFont="1">
      <alignment shrinkToFit="0" vertical="top" wrapText="1"/>
    </xf>
    <xf borderId="0" fillId="0" fontId="19" numFmtId="0" xfId="0" applyAlignment="1" applyFont="1">
      <alignment readingOrder="0" shrinkToFit="0" vertical="top" wrapText="1"/>
    </xf>
    <xf borderId="0" fillId="0" fontId="19" numFmtId="0" xfId="0" applyAlignment="1" applyFont="1">
      <alignment readingOrder="0"/>
    </xf>
    <xf borderId="0" fillId="0" fontId="19" numFmtId="0" xfId="0" applyFont="1"/>
    <xf borderId="0" fillId="0" fontId="5" numFmtId="164" xfId="0" applyAlignment="1" applyFont="1" applyNumberFormat="1">
      <alignment readingOrder="0"/>
    </xf>
    <xf borderId="0" fillId="0" fontId="5" numFmtId="0" xfId="0" applyAlignment="1" applyFont="1">
      <alignment horizontal="left" shrinkToFit="0" vertical="top" wrapText="1"/>
    </xf>
    <xf borderId="0" fillId="0" fontId="16" numFmtId="0" xfId="0" applyAlignment="1" applyFont="1">
      <alignment readingOrder="0"/>
    </xf>
    <xf borderId="1" fillId="0" fontId="5" numFmtId="0" xfId="0" applyAlignment="1" applyBorder="1" applyFont="1">
      <alignment readingOrder="0"/>
    </xf>
    <xf borderId="1" fillId="0" fontId="5" numFmtId="0" xfId="0" applyBorder="1" applyFont="1"/>
    <xf borderId="1" fillId="0" fontId="2" numFmtId="0" xfId="0" applyAlignment="1" applyBorder="1" applyFont="1">
      <alignment readingOrder="0"/>
    </xf>
    <xf borderId="5" fillId="8" fontId="20" numFmtId="0" xfId="0" applyAlignment="1" applyBorder="1" applyFill="1" applyFont="1">
      <alignment horizontal="left" readingOrder="0" shrinkToFit="0" vertical="top" wrapText="0"/>
    </xf>
    <xf borderId="2" fillId="0" fontId="5"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5" fillId="0" fontId="9" numFmtId="0" xfId="0" applyBorder="1" applyFont="1"/>
    <xf borderId="2" fillId="0" fontId="5" numFmtId="0" xfId="0" applyAlignment="1" applyBorder="1" applyFont="1">
      <alignment readingOrder="0"/>
    </xf>
    <xf borderId="2" fillId="0" fontId="21" numFmtId="0" xfId="0" applyAlignment="1" applyBorder="1" applyFont="1">
      <alignment horizontal="center" shrinkToFit="0" vertical="center" wrapText="1"/>
    </xf>
    <xf borderId="1" fillId="0" fontId="21" numFmtId="0" xfId="0" applyAlignment="1" applyBorder="1" applyFont="1">
      <alignment horizontal="left" shrinkToFit="0" vertical="center" wrapText="1"/>
    </xf>
    <xf borderId="1" fillId="0" fontId="21" numFmtId="0" xfId="0" applyAlignment="1" applyBorder="1" applyFont="1">
      <alignment vertical="bottom"/>
    </xf>
    <xf borderId="1" fillId="0" fontId="21" numFmtId="0" xfId="0" applyAlignment="1" applyBorder="1" applyFont="1">
      <alignment horizontal="left" readingOrder="0" shrinkToFit="0" vertical="center" wrapText="1"/>
    </xf>
    <xf borderId="2" fillId="0" fontId="21" numFmtId="0" xfId="0" applyAlignment="1" applyBorder="1" applyFont="1">
      <alignment horizontal="center" readingOrder="0" vertical="center"/>
    </xf>
    <xf borderId="1" fillId="0" fontId="21" numFmtId="0" xfId="0" applyAlignment="1" applyBorder="1" applyFont="1">
      <alignment horizontal="left" shrinkToFit="0" vertical="center" wrapText="1"/>
    </xf>
    <xf borderId="0" fillId="0" fontId="5" numFmtId="0" xfId="0" applyAlignment="1" applyFont="1">
      <alignment horizontal="center" shrinkToFit="0" vertical="center" wrapText="1"/>
    </xf>
    <xf borderId="0" fillId="0" fontId="5" numFmtId="0" xfId="0" applyAlignment="1" applyFont="1">
      <alignment horizontal="left" shrinkToFit="0" vertical="center" wrapText="1"/>
    </xf>
    <xf borderId="6" fillId="0" fontId="9" numFmtId="0" xfId="0" applyBorder="1" applyFont="1"/>
    <xf borderId="0" fillId="0" fontId="5" numFmtId="0" xfId="0" applyAlignment="1" applyFont="1">
      <alignment horizontal="center" readingOrder="0" shrinkToFit="0" vertical="center" wrapText="1"/>
    </xf>
    <xf borderId="0" fillId="0" fontId="5" numFmtId="0" xfId="0" applyAlignment="1" applyFont="1">
      <alignment horizontal="center" readingOrder="0"/>
    </xf>
    <xf borderId="5" fillId="8" fontId="22" numFmtId="0" xfId="0" applyAlignment="1" applyBorder="1" applyFont="1">
      <alignment horizontal="left" readingOrder="0" shrinkToFit="0" vertical="top" wrapText="0"/>
    </xf>
    <xf borderId="0" fillId="8" fontId="22" numFmtId="0" xfId="0" applyAlignment="1" applyFont="1">
      <alignment horizontal="left" readingOrder="0" shrinkToFit="0" wrapText="0"/>
    </xf>
    <xf borderId="6" fillId="8" fontId="22" numFmtId="0" xfId="0" applyAlignment="1" applyBorder="1" applyFont="1">
      <alignment horizontal="left" readingOrder="0" shrinkToFit="0" vertical="top" wrapText="0"/>
    </xf>
    <xf borderId="1" fillId="4" fontId="3" numFmtId="0" xfId="0" applyAlignment="1" applyBorder="1" applyFont="1">
      <alignment shrinkToFit="0" wrapText="1"/>
    </xf>
    <xf borderId="1" fillId="4" fontId="3" numFmtId="0" xfId="0" applyAlignment="1" applyBorder="1" applyFont="1">
      <alignment shrinkToFit="0" wrapText="1"/>
    </xf>
    <xf borderId="1" fillId="0" fontId="6" numFmtId="0" xfId="0" applyAlignment="1" applyBorder="1" applyFont="1">
      <alignment readingOrder="0" shrinkToFit="0" vertical="top" wrapText="1"/>
    </xf>
    <xf borderId="1" fillId="0" fontId="6" numFmtId="0" xfId="0" applyAlignment="1" applyBorder="1" applyFont="1">
      <alignment readingOrder="0" vertical="top"/>
    </xf>
    <xf borderId="1" fillId="0" fontId="6" numFmtId="0" xfId="0" applyAlignment="1" applyBorder="1" applyFont="1">
      <alignment vertical="top"/>
    </xf>
    <xf borderId="1" fillId="0" fontId="6" numFmtId="164" xfId="0" applyAlignment="1" applyBorder="1" applyFont="1" applyNumberFormat="1">
      <alignment readingOrder="0" vertical="top"/>
    </xf>
    <xf borderId="1" fillId="0" fontId="6" numFmtId="0" xfId="0" applyAlignment="1" applyBorder="1" applyFont="1">
      <alignment shrinkToFit="0" vertical="top" wrapText="1"/>
    </xf>
    <xf borderId="1" fillId="9" fontId="6" numFmtId="0" xfId="0" applyAlignment="1" applyBorder="1" applyFill="1" applyFont="1">
      <alignment readingOrder="0" shrinkToFit="0" vertical="top" wrapText="1"/>
    </xf>
    <xf borderId="7" fillId="8" fontId="23" numFmtId="0" xfId="0" applyAlignment="1" applyBorder="1" applyFont="1">
      <alignment horizontal="center" readingOrder="0" vertical="center"/>
    </xf>
    <xf borderId="7" fillId="8" fontId="23" numFmtId="0" xfId="0" applyAlignment="1" applyBorder="1" applyFont="1">
      <alignment horizontal="center" readingOrder="0" shrinkToFit="0" vertical="center" wrapText="1"/>
    </xf>
    <xf borderId="8" fillId="8" fontId="24" numFmtId="0" xfId="0" applyAlignment="1" applyBorder="1" applyFont="1">
      <alignment horizontal="center" readingOrder="0" shrinkToFit="0" vertical="top" wrapText="1"/>
    </xf>
    <xf borderId="8" fillId="8" fontId="25" numFmtId="0" xfId="0" applyAlignment="1" applyBorder="1" applyFont="1">
      <alignment readingOrder="0" shrinkToFit="0" vertical="top" wrapText="1"/>
    </xf>
    <xf borderId="8" fillId="8" fontId="25" numFmtId="0" xfId="0" applyAlignment="1" applyBorder="1" applyFont="1">
      <alignment readingOrder="0" vertical="top"/>
    </xf>
    <xf borderId="9" fillId="8" fontId="25" numFmtId="0" xfId="0" applyAlignment="1" applyBorder="1" applyFont="1">
      <alignment readingOrder="0" shrinkToFit="0" vertical="top" wrapText="1"/>
    </xf>
    <xf borderId="10" fillId="8" fontId="25" numFmtId="0" xfId="0" applyAlignment="1" applyBorder="1" applyFont="1">
      <alignment readingOrder="0" vertical="top"/>
    </xf>
    <xf borderId="1" fillId="10" fontId="25" numFmtId="0" xfId="0" applyAlignment="1" applyBorder="1" applyFill="1" applyFont="1">
      <alignment readingOrder="0" vertical="top"/>
    </xf>
    <xf borderId="11" fillId="8" fontId="25" numFmtId="0" xfId="0" applyAlignment="1" applyBorder="1" applyFont="1">
      <alignment readingOrder="0" vertical="top"/>
    </xf>
    <xf borderId="7" fillId="8" fontId="25" numFmtId="0" xfId="0" applyAlignment="1" applyBorder="1" applyFont="1">
      <alignment readingOrder="0" shrinkToFit="0" vertical="top" wrapText="1"/>
    </xf>
    <xf borderId="12" fillId="0" fontId="9" numFmtId="0" xfId="0" applyBorder="1" applyFont="1"/>
    <xf borderId="1" fillId="11" fontId="25" numFmtId="0" xfId="0" applyAlignment="1" applyBorder="1" applyFill="1" applyFont="1">
      <alignment readingOrder="0" vertical="top"/>
    </xf>
    <xf borderId="1" fillId="12" fontId="25" numFmtId="0" xfId="0" applyAlignment="1" applyBorder="1" applyFill="1" applyFont="1">
      <alignment readingOrder="0" vertical="top"/>
    </xf>
    <xf borderId="13" fillId="0" fontId="9" numFmtId="0" xfId="0" applyBorder="1" applyFont="1"/>
    <xf borderId="8" fillId="8" fontId="25" numFmtId="0" xfId="0" applyAlignment="1" applyBorder="1" applyFont="1">
      <alignment horizontal="center" readingOrder="0" vertical="top"/>
    </xf>
    <xf borderId="7" fillId="8" fontId="5" numFmtId="0" xfId="0" applyAlignment="1" applyBorder="1" applyFont="1">
      <alignment shrinkToFit="0" vertical="top" wrapText="1"/>
    </xf>
    <xf borderId="7" fillId="8" fontId="5" numFmtId="0" xfId="0" applyAlignment="1" applyBorder="1" applyFont="1">
      <alignment horizontal="center" vertical="top"/>
    </xf>
    <xf borderId="14" fillId="8" fontId="5" numFmtId="0" xfId="0" applyAlignment="1" applyBorder="1" applyFont="1">
      <alignment vertical="top"/>
    </xf>
    <xf borderId="7" fillId="8" fontId="5" numFmtId="0" xfId="0" applyAlignment="1" applyBorder="1" applyFont="1">
      <alignment vertical="top"/>
    </xf>
    <xf borderId="7" fillId="8" fontId="25" numFmtId="0" xfId="0" applyAlignment="1" applyBorder="1" applyFont="1">
      <alignment horizontal="center" readingOrder="0" vertical="top"/>
    </xf>
    <xf borderId="1" fillId="13" fontId="25" numFmtId="0" xfId="0" applyAlignment="1" applyBorder="1" applyFill="1" applyFont="1">
      <alignment readingOrder="0" vertical="top"/>
    </xf>
    <xf borderId="1" fillId="14" fontId="25" numFmtId="0" xfId="0" applyAlignment="1" applyBorder="1" applyFill="1" applyFont="1">
      <alignment readingOrder="0" vertical="top"/>
    </xf>
    <xf borderId="1" fillId="15" fontId="25" numFmtId="0" xfId="0" applyAlignment="1" applyBorder="1" applyFill="1" applyFont="1">
      <alignment readingOrder="0" vertical="top"/>
    </xf>
    <xf borderId="1" fillId="16" fontId="6" numFmtId="0" xfId="0" applyAlignment="1" applyBorder="1" applyFill="1" applyFont="1">
      <alignment shrinkToFit="0" vertical="top" wrapText="1"/>
    </xf>
    <xf borderId="1" fillId="16" fontId="6" numFmtId="0" xfId="0" applyAlignment="1" applyBorder="1" applyFont="1">
      <alignment vertical="top"/>
    </xf>
    <xf borderId="0" fillId="16" fontId="6" numFmtId="0" xfId="0" applyAlignment="1" applyFont="1">
      <alignment vertical="bottom"/>
    </xf>
    <xf borderId="0" fillId="0" fontId="26" numFmtId="0" xfId="0" applyAlignment="1" applyFont="1">
      <alignment readingOrder="0"/>
    </xf>
    <xf borderId="0" fillId="0" fontId="26" numFmtId="0" xfId="0" applyAlignment="1" applyFont="1">
      <alignment readingOrder="0" shrinkToFit="0" wrapText="1"/>
    </xf>
    <xf borderId="0" fillId="0" fontId="5" numFmtId="0" xfId="0" applyFont="1"/>
    <xf borderId="0" fillId="0" fontId="5" numFmtId="164" xfId="0" applyFont="1" applyNumberFormat="1"/>
    <xf borderId="15" fillId="8" fontId="5" numFmtId="0" xfId="0" applyAlignment="1" applyBorder="1" applyFont="1">
      <alignment vertical="top"/>
    </xf>
    <xf borderId="16" fillId="8" fontId="5" numFmtId="0" xfId="0" applyAlignment="1" applyBorder="1" applyFont="1">
      <alignment vertical="top"/>
    </xf>
    <xf borderId="1" fillId="0" fontId="27" numFmtId="0" xfId="0" applyAlignment="1" applyBorder="1" applyFont="1">
      <alignment horizontal="center" shrinkToFit="0" vertical="bottom" wrapText="1"/>
    </xf>
    <xf borderId="1" fillId="0" fontId="27" numFmtId="0" xfId="0" applyAlignment="1" applyBorder="1" applyFont="1">
      <alignment shrinkToFit="0" vertical="bottom" wrapText="1"/>
    </xf>
    <xf borderId="0" fillId="0" fontId="28" numFmtId="0" xfId="0" applyAlignment="1" applyFont="1">
      <alignment vertical="bottom"/>
    </xf>
    <xf borderId="1" fillId="0" fontId="5" numFmtId="165" xfId="0" applyAlignment="1" applyBorder="1" applyFont="1" applyNumberFormat="1">
      <alignment readingOrder="0"/>
    </xf>
    <xf borderId="0" fillId="17" fontId="29" numFmtId="0" xfId="0" applyAlignment="1" applyFill="1" applyFont="1">
      <alignment horizontal="left" readingOrder="0" shrinkToFit="0" wrapText="1"/>
    </xf>
    <xf borderId="0" fillId="0" fontId="30" numFmtId="0" xfId="0" applyAlignment="1" applyFont="1">
      <alignment readingOrder="0"/>
    </xf>
    <xf quotePrefix="1" borderId="7" fillId="8" fontId="25" numFmtId="0" xfId="0" applyAlignment="1" applyBorder="1" applyFont="1">
      <alignment readingOrder="0" shrinkToFit="0" vertical="top" wrapText="1"/>
    </xf>
    <xf borderId="17" fillId="11" fontId="25" numFmtId="0" xfId="0" applyAlignment="1" applyBorder="1" applyFont="1">
      <alignment readingOrder="0" vertical="top"/>
    </xf>
    <xf borderId="0" fillId="0" fontId="5" numFmtId="0" xfId="0" applyAlignment="1" applyFont="1">
      <alignment vertical="top"/>
    </xf>
    <xf borderId="0" fillId="0" fontId="5" numFmtId="0" xfId="0" applyAlignment="1" applyFont="1">
      <alignment horizontal="center"/>
    </xf>
    <xf borderId="0" fillId="8"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ahnj7CYYZM-x2h-XfR74LhEzA7gWZ4LX?usp=sharing" TargetMode="External"/><Relationship Id="rId2" Type="http://schemas.openxmlformats.org/officeDocument/2006/relationships/hyperlink" Target="mailto:rajeev@unnanu.ai" TargetMode="External"/><Relationship Id="rId3" Type="http://schemas.openxmlformats.org/officeDocument/2006/relationships/hyperlink" Target="http://agents.md/" TargetMode="External"/><Relationship Id="rId4" Type="http://schemas.openxmlformats.org/officeDocument/2006/relationships/hyperlink" Target="mailto:nnr@unnanu.ai" TargetMode="External"/><Relationship Id="rId5" Type="http://schemas.openxmlformats.org/officeDocument/2006/relationships/hyperlink" Target="mailto:nnr@unnanu.ai" TargetMode="External"/><Relationship Id="rId6" Type="http://schemas.openxmlformats.org/officeDocument/2006/relationships/hyperlink" Target="mailto:saib@unnanu.com" TargetMode="External"/><Relationship Id="rId7" Type="http://schemas.openxmlformats.org/officeDocument/2006/relationships/hyperlink" Target="mailto:nnr@unnanu.ai"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unnanu.i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13"/>
    <col customWidth="1" min="3" max="3" width="43.75"/>
    <col customWidth="1" min="4" max="4" width="40.63"/>
    <col customWidth="1" min="5" max="5" width="41.25"/>
    <col customWidth="1" min="6" max="6" width="29.38"/>
  </cols>
  <sheetData>
    <row r="1">
      <c r="A1" s="1" t="s">
        <v>0</v>
      </c>
      <c r="B1" s="8" t="s">
        <v>1</v>
      </c>
      <c r="C1" s="11" t="s">
        <v>5</v>
      </c>
      <c r="D1" s="13" t="s">
        <v>17</v>
      </c>
      <c r="E1" s="13" t="s">
        <v>21</v>
      </c>
      <c r="F1" s="16" t="s">
        <v>9</v>
      </c>
    </row>
    <row r="2">
      <c r="A2" s="19">
        <v>46237.0</v>
      </c>
      <c r="B2" s="12"/>
      <c r="C2" s="20"/>
      <c r="D2" s="20"/>
      <c r="E2" s="20"/>
      <c r="F2" s="20"/>
    </row>
    <row r="3">
      <c r="B3" s="22" t="s">
        <v>28</v>
      </c>
      <c r="C3" s="22" t="s">
        <v>31</v>
      </c>
      <c r="D3" s="24" t="s">
        <v>32</v>
      </c>
      <c r="E3" s="22" t="s">
        <v>35</v>
      </c>
      <c r="F3" s="20"/>
    </row>
    <row r="4">
      <c r="B4" s="22" t="s">
        <v>36</v>
      </c>
      <c r="C4" s="24" t="s">
        <v>37</v>
      </c>
      <c r="D4" s="24" t="s">
        <v>40</v>
      </c>
      <c r="E4" s="20"/>
      <c r="F4" s="20"/>
    </row>
    <row r="5">
      <c r="B5" s="22" t="s">
        <v>44</v>
      </c>
      <c r="C5" s="24" t="s">
        <v>46</v>
      </c>
      <c r="D5" s="24" t="s">
        <v>48</v>
      </c>
      <c r="E5" s="24" t="s">
        <v>51</v>
      </c>
      <c r="F5" s="20"/>
    </row>
    <row r="6">
      <c r="B6" s="22" t="s">
        <v>55</v>
      </c>
      <c r="C6" s="32" t="s">
        <v>58</v>
      </c>
      <c r="D6" s="24" t="s">
        <v>63</v>
      </c>
      <c r="E6" s="24" t="s">
        <v>66</v>
      </c>
      <c r="F6" s="20"/>
    </row>
    <row r="7">
      <c r="B7" s="22" t="s">
        <v>70</v>
      </c>
      <c r="C7" s="9" t="s">
        <v>72</v>
      </c>
      <c r="D7" s="20"/>
      <c r="E7" s="20"/>
      <c r="F7" s="20"/>
    </row>
    <row r="8">
      <c r="A8" s="34"/>
      <c r="C8" s="24"/>
      <c r="D8" s="20"/>
      <c r="E8" s="20"/>
      <c r="F8" s="20"/>
    </row>
    <row r="9">
      <c r="A9" s="19">
        <v>46238.0</v>
      </c>
      <c r="B9" s="12"/>
      <c r="C9" s="20"/>
      <c r="D9" s="20"/>
      <c r="E9" s="20"/>
      <c r="F9" s="20"/>
    </row>
    <row r="10">
      <c r="B10" s="22" t="s">
        <v>28</v>
      </c>
      <c r="C10" s="22" t="s">
        <v>35</v>
      </c>
      <c r="D10" s="24" t="s">
        <v>93</v>
      </c>
      <c r="E10" s="22" t="s">
        <v>35</v>
      </c>
      <c r="F10" s="20"/>
    </row>
    <row r="11">
      <c r="B11" s="22" t="s">
        <v>36</v>
      </c>
      <c r="C11" s="24" t="s">
        <v>97</v>
      </c>
      <c r="D11" s="24" t="s">
        <v>99</v>
      </c>
      <c r="E11" s="20"/>
      <c r="F11" s="20"/>
    </row>
    <row r="12">
      <c r="B12" s="22" t="s">
        <v>44</v>
      </c>
      <c r="C12" s="24" t="s">
        <v>105</v>
      </c>
      <c r="D12" s="24" t="s">
        <v>106</v>
      </c>
      <c r="E12" s="24" t="s">
        <v>108</v>
      </c>
      <c r="F12" s="20"/>
    </row>
    <row r="13">
      <c r="B13" s="22" t="s">
        <v>55</v>
      </c>
      <c r="C13" s="24" t="s">
        <v>66</v>
      </c>
      <c r="D13" s="24" t="s">
        <v>112</v>
      </c>
      <c r="E13" s="24" t="s">
        <v>114</v>
      </c>
      <c r="F13" s="20"/>
    </row>
    <row r="14">
      <c r="B14" s="22" t="s">
        <v>70</v>
      </c>
      <c r="C14" s="20"/>
      <c r="D14" s="20"/>
      <c r="E14" s="20"/>
      <c r="F14" s="20"/>
    </row>
    <row r="15">
      <c r="A15" s="19">
        <v>46239.0</v>
      </c>
      <c r="B15" s="12"/>
      <c r="C15" s="20"/>
      <c r="D15" s="20"/>
      <c r="E15" s="20"/>
      <c r="F15" s="20"/>
    </row>
    <row r="16">
      <c r="B16" s="22" t="s">
        <v>28</v>
      </c>
      <c r="C16" s="24" t="s">
        <v>126</v>
      </c>
      <c r="D16" s="24" t="s">
        <v>128</v>
      </c>
      <c r="E16" s="24" t="s">
        <v>130</v>
      </c>
      <c r="F16" s="20"/>
    </row>
    <row r="17">
      <c r="B17" s="22" t="s">
        <v>36</v>
      </c>
      <c r="C17" s="24" t="s">
        <v>135</v>
      </c>
      <c r="D17" s="24" t="s">
        <v>136</v>
      </c>
      <c r="E17" s="20"/>
      <c r="F17" s="20"/>
    </row>
    <row r="18">
      <c r="B18" s="22" t="s">
        <v>44</v>
      </c>
      <c r="C18" s="24" t="s">
        <v>143</v>
      </c>
      <c r="D18" s="24" t="s">
        <v>147</v>
      </c>
      <c r="E18" s="24" t="s">
        <v>149</v>
      </c>
      <c r="F18" s="20"/>
    </row>
    <row r="19">
      <c r="B19" s="22" t="s">
        <v>55</v>
      </c>
      <c r="C19" s="24" t="s">
        <v>114</v>
      </c>
      <c r="D19" s="24" t="s">
        <v>153</v>
      </c>
      <c r="E19" s="24" t="s">
        <v>156</v>
      </c>
      <c r="F19" s="20"/>
    </row>
    <row r="20">
      <c r="B20" s="22" t="s">
        <v>70</v>
      </c>
      <c r="C20" s="20"/>
      <c r="D20" s="20"/>
      <c r="E20" s="20"/>
      <c r="F20" s="20"/>
    </row>
    <row r="21">
      <c r="A21" s="19">
        <v>46240.0</v>
      </c>
      <c r="B21" s="12"/>
      <c r="C21" s="20"/>
      <c r="D21" s="20"/>
      <c r="E21" s="20"/>
      <c r="F21" s="20"/>
    </row>
    <row r="22">
      <c r="B22" s="22" t="s">
        <v>28</v>
      </c>
      <c r="C22" s="24" t="s">
        <v>130</v>
      </c>
      <c r="D22" s="24" t="s">
        <v>161</v>
      </c>
      <c r="E22" s="24" t="s">
        <v>130</v>
      </c>
      <c r="F22" s="20"/>
    </row>
    <row r="23">
      <c r="B23" s="22" t="s">
        <v>36</v>
      </c>
      <c r="C23" s="24" t="s">
        <v>166</v>
      </c>
      <c r="D23" s="24" t="s">
        <v>167</v>
      </c>
      <c r="E23" s="20"/>
      <c r="F23" s="20"/>
    </row>
    <row r="24">
      <c r="B24" s="22" t="s">
        <v>44</v>
      </c>
      <c r="C24" s="24" t="s">
        <v>170</v>
      </c>
      <c r="D24" s="24" t="s">
        <v>171</v>
      </c>
      <c r="E24" s="24" t="s">
        <v>173</v>
      </c>
      <c r="F24" s="20"/>
    </row>
    <row r="25">
      <c r="B25" s="22" t="s">
        <v>55</v>
      </c>
      <c r="C25" s="24" t="s">
        <v>156</v>
      </c>
      <c r="D25" s="24" t="s">
        <v>176</v>
      </c>
      <c r="E25" s="24" t="s">
        <v>178</v>
      </c>
      <c r="F25" s="20"/>
    </row>
    <row r="26">
      <c r="B26" s="22" t="s">
        <v>70</v>
      </c>
      <c r="C26" s="20"/>
      <c r="D26" s="20"/>
      <c r="E26" s="20"/>
      <c r="F26" s="20"/>
    </row>
    <row r="27">
      <c r="A27" s="19">
        <v>46241.0</v>
      </c>
      <c r="B27" s="12"/>
      <c r="C27" s="20"/>
      <c r="D27" s="20"/>
      <c r="E27" s="20"/>
      <c r="F27" s="20"/>
    </row>
    <row r="28">
      <c r="B28" s="22" t="s">
        <v>28</v>
      </c>
      <c r="C28" s="24" t="s">
        <v>130</v>
      </c>
      <c r="D28" s="24" t="s">
        <v>188</v>
      </c>
      <c r="E28" s="24" t="s">
        <v>190</v>
      </c>
      <c r="F28" s="20"/>
    </row>
    <row r="29">
      <c r="B29" s="22" t="s">
        <v>36</v>
      </c>
      <c r="C29" s="24" t="s">
        <v>192</v>
      </c>
      <c r="D29" s="24" t="s">
        <v>193</v>
      </c>
      <c r="E29" s="20"/>
      <c r="F29" s="20"/>
    </row>
    <row r="30">
      <c r="B30" s="22" t="s">
        <v>44</v>
      </c>
      <c r="C30" s="24" t="s">
        <v>198</v>
      </c>
      <c r="D30" s="24" t="s">
        <v>199</v>
      </c>
      <c r="E30" s="24" t="s">
        <v>200</v>
      </c>
      <c r="F30" s="20"/>
    </row>
    <row r="31">
      <c r="B31" s="22" t="s">
        <v>55</v>
      </c>
      <c r="C31" s="24" t="s">
        <v>178</v>
      </c>
      <c r="D31" s="24" t="s">
        <v>202</v>
      </c>
      <c r="E31" s="24" t="s">
        <v>204</v>
      </c>
      <c r="F31" s="20"/>
    </row>
    <row r="32">
      <c r="B32" s="22" t="s">
        <v>70</v>
      </c>
      <c r="C32" s="20"/>
      <c r="D32" s="20"/>
      <c r="E32" s="20"/>
      <c r="F32" s="20"/>
    </row>
    <row r="33">
      <c r="A33" s="19">
        <v>46244.0</v>
      </c>
      <c r="C33" s="20"/>
      <c r="D33" s="20"/>
      <c r="E33" s="20"/>
      <c r="F33" s="20"/>
    </row>
    <row r="34">
      <c r="C34" s="20"/>
      <c r="D34" s="20"/>
      <c r="E34" s="20"/>
      <c r="F34" s="20"/>
    </row>
    <row r="35">
      <c r="B35" s="9" t="s">
        <v>36</v>
      </c>
      <c r="C35" s="24" t="s">
        <v>213</v>
      </c>
      <c r="D35" s="24" t="s">
        <v>213</v>
      </c>
      <c r="E35" s="20"/>
      <c r="F35" s="20"/>
    </row>
    <row r="36">
      <c r="B36" s="9" t="s">
        <v>28</v>
      </c>
      <c r="C36" s="24" t="s">
        <v>190</v>
      </c>
      <c r="D36" s="24" t="s">
        <v>216</v>
      </c>
      <c r="E36" s="24" t="s">
        <v>190</v>
      </c>
      <c r="F36" s="20"/>
    </row>
    <row r="37">
      <c r="B37" s="9" t="s">
        <v>182</v>
      </c>
      <c r="C37" s="24" t="s">
        <v>204</v>
      </c>
      <c r="D37" s="24" t="s">
        <v>220</v>
      </c>
      <c r="E37" s="24" t="s">
        <v>221</v>
      </c>
      <c r="F37" s="20"/>
    </row>
    <row r="38">
      <c r="C38" s="20"/>
      <c r="D38" s="20"/>
      <c r="E38" s="20"/>
      <c r="F38" s="20"/>
    </row>
    <row r="39">
      <c r="A39" s="19">
        <v>46245.0</v>
      </c>
      <c r="C39" s="20"/>
      <c r="D39" s="20"/>
      <c r="E39" s="20"/>
      <c r="F39" s="20"/>
    </row>
    <row r="40">
      <c r="B40" s="9" t="s">
        <v>28</v>
      </c>
      <c r="C40" s="24" t="s">
        <v>190</v>
      </c>
      <c r="D40" s="24" t="s">
        <v>227</v>
      </c>
      <c r="E40" s="24" t="s">
        <v>229</v>
      </c>
      <c r="F40" s="20"/>
    </row>
    <row r="41">
      <c r="B41" s="9" t="s">
        <v>36</v>
      </c>
      <c r="C41" s="24" t="s">
        <v>233</v>
      </c>
      <c r="D41" s="24" t="s">
        <v>234</v>
      </c>
      <c r="E41" s="20"/>
      <c r="F41" s="20"/>
    </row>
    <row r="42">
      <c r="C42" s="20"/>
      <c r="D42" s="20"/>
      <c r="E42" s="20"/>
      <c r="F42" s="20"/>
    </row>
    <row r="43">
      <c r="B43" s="9" t="s">
        <v>182</v>
      </c>
      <c r="C43" s="24" t="s">
        <v>236</v>
      </c>
      <c r="D43" s="24" t="s">
        <v>238</v>
      </c>
      <c r="E43" s="24" t="s">
        <v>240</v>
      </c>
      <c r="F43" s="20"/>
    </row>
    <row r="44">
      <c r="C44" s="20"/>
      <c r="D44" s="20"/>
      <c r="E44" s="20"/>
      <c r="F44" s="20"/>
    </row>
    <row r="45">
      <c r="A45" s="19">
        <v>46246.0</v>
      </c>
      <c r="C45" s="20"/>
      <c r="D45" s="20"/>
      <c r="E45" s="20"/>
      <c r="F45" s="20"/>
    </row>
    <row r="46">
      <c r="B46" s="9" t="s">
        <v>244</v>
      </c>
      <c r="C46" s="24" t="s">
        <v>246</v>
      </c>
      <c r="D46" s="24" t="s">
        <v>247</v>
      </c>
      <c r="E46" s="20"/>
      <c r="F46" s="20"/>
    </row>
    <row r="47">
      <c r="B47" s="9" t="s">
        <v>28</v>
      </c>
      <c r="C47" s="24" t="s">
        <v>229</v>
      </c>
      <c r="D47" s="24" t="s">
        <v>250</v>
      </c>
      <c r="E47" s="24" t="s">
        <v>229</v>
      </c>
      <c r="F47" s="20"/>
    </row>
    <row r="48">
      <c r="C48" s="20"/>
      <c r="D48" s="20"/>
      <c r="E48" s="20"/>
      <c r="F48" s="20"/>
    </row>
    <row r="49">
      <c r="B49" s="9" t="s">
        <v>182</v>
      </c>
      <c r="C49" s="24" t="s">
        <v>256</v>
      </c>
      <c r="D49" s="24" t="s">
        <v>259</v>
      </c>
      <c r="E49" s="24" t="s">
        <v>261</v>
      </c>
      <c r="F49" s="20"/>
    </row>
    <row r="50">
      <c r="C50" s="20"/>
      <c r="D50" s="20"/>
      <c r="E50" s="20"/>
      <c r="F50" s="20"/>
    </row>
    <row r="51">
      <c r="A51" s="19">
        <v>46247.0</v>
      </c>
      <c r="C51" s="20"/>
      <c r="D51" s="20"/>
      <c r="E51" s="20"/>
      <c r="F51" s="20"/>
    </row>
    <row r="52">
      <c r="B52" s="9" t="s">
        <v>36</v>
      </c>
      <c r="C52" s="24" t="s">
        <v>267</v>
      </c>
      <c r="D52" s="24" t="s">
        <v>268</v>
      </c>
      <c r="E52" s="20"/>
      <c r="F52" s="20"/>
    </row>
    <row r="53">
      <c r="B53" s="9" t="s">
        <v>28</v>
      </c>
      <c r="C53" s="24" t="s">
        <v>229</v>
      </c>
      <c r="D53" s="20"/>
      <c r="E53" s="20"/>
      <c r="F53" s="20"/>
    </row>
    <row r="54">
      <c r="C54" s="20"/>
      <c r="D54" s="20"/>
      <c r="E54" s="20"/>
      <c r="F54" s="20"/>
    </row>
    <row r="55">
      <c r="B55" s="9" t="s">
        <v>55</v>
      </c>
      <c r="C55" s="24" t="s">
        <v>261</v>
      </c>
      <c r="D55" s="24" t="s">
        <v>274</v>
      </c>
      <c r="E55" s="24" t="s">
        <v>276</v>
      </c>
      <c r="F55" s="20"/>
    </row>
    <row r="56">
      <c r="C56" s="20"/>
      <c r="D56" s="20"/>
      <c r="E56" s="20"/>
      <c r="F56" s="20"/>
    </row>
    <row r="57">
      <c r="A57" s="19">
        <v>46248.0</v>
      </c>
      <c r="C57" s="20"/>
      <c r="D57" s="20"/>
      <c r="E57" s="20"/>
      <c r="F57" s="20"/>
    </row>
    <row r="58">
      <c r="B58" s="9" t="s">
        <v>36</v>
      </c>
      <c r="C58" s="24" t="s">
        <v>287</v>
      </c>
      <c r="D58" s="20"/>
      <c r="E58" s="20"/>
      <c r="F58" s="20"/>
    </row>
    <row r="59">
      <c r="C59" s="20"/>
      <c r="D59" s="20"/>
      <c r="E59" s="20"/>
      <c r="F59" s="20"/>
    </row>
    <row r="60">
      <c r="C60" s="20"/>
      <c r="D60" s="20"/>
      <c r="E60" s="20"/>
      <c r="F60" s="20"/>
    </row>
    <row r="61">
      <c r="B61" s="9" t="s">
        <v>182</v>
      </c>
      <c r="C61" s="24" t="s">
        <v>293</v>
      </c>
      <c r="D61" s="24" t="s">
        <v>294</v>
      </c>
      <c r="E61" s="24" t="s">
        <v>295</v>
      </c>
      <c r="F61" s="20"/>
    </row>
    <row r="62">
      <c r="C62" s="20"/>
      <c r="D62" s="20"/>
      <c r="E62" s="20"/>
      <c r="F62" s="20"/>
    </row>
    <row r="63">
      <c r="A63" s="34"/>
      <c r="C63" s="20"/>
      <c r="D63" s="20"/>
      <c r="E63" s="20"/>
      <c r="F63" s="20"/>
    </row>
    <row r="64">
      <c r="A64" s="34"/>
      <c r="C64" s="20"/>
      <c r="D64" s="20"/>
      <c r="E64" s="20"/>
      <c r="F64" s="20"/>
    </row>
    <row r="65">
      <c r="A65" s="34"/>
      <c r="C65" s="20"/>
      <c r="D65" s="20"/>
      <c r="E65" s="20"/>
      <c r="F65" s="20"/>
    </row>
    <row r="66">
      <c r="A66" s="34"/>
      <c r="C66" s="20"/>
      <c r="D66" s="20"/>
      <c r="E66" s="20"/>
      <c r="F66" s="20"/>
    </row>
    <row r="67">
      <c r="A67" s="34"/>
      <c r="C67" s="20"/>
      <c r="D67" s="20"/>
      <c r="E67" s="20"/>
      <c r="F67" s="20"/>
    </row>
    <row r="68">
      <c r="A68" s="34"/>
      <c r="C68" s="20"/>
      <c r="D68" s="20"/>
      <c r="E68" s="20"/>
      <c r="F68" s="20"/>
    </row>
    <row r="69">
      <c r="A69" s="34"/>
      <c r="C69" s="20"/>
      <c r="D69" s="20"/>
      <c r="E69" s="20"/>
      <c r="F69" s="20"/>
    </row>
    <row r="70">
      <c r="A70" s="34"/>
      <c r="C70" s="20"/>
      <c r="D70" s="20"/>
      <c r="E70" s="20"/>
      <c r="F70" s="20"/>
    </row>
    <row r="71">
      <c r="A71" s="34"/>
      <c r="C71" s="20"/>
      <c r="D71" s="20"/>
      <c r="E71" s="20"/>
      <c r="F71" s="20"/>
    </row>
    <row r="72">
      <c r="A72" s="34"/>
      <c r="C72" s="20"/>
      <c r="D72" s="20"/>
      <c r="E72" s="20"/>
      <c r="F72" s="20"/>
    </row>
    <row r="73">
      <c r="A73" s="34"/>
      <c r="C73" s="20"/>
      <c r="D73" s="20"/>
      <c r="E73" s="20"/>
      <c r="F73" s="20"/>
    </row>
    <row r="74">
      <c r="A74" s="34"/>
      <c r="C74" s="20"/>
      <c r="D74" s="20"/>
      <c r="E74" s="20"/>
      <c r="F74" s="20"/>
    </row>
    <row r="75">
      <c r="A75" s="34"/>
      <c r="C75" s="20"/>
      <c r="D75" s="20"/>
      <c r="E75" s="20"/>
      <c r="F75" s="20"/>
    </row>
    <row r="76">
      <c r="A76" s="34"/>
      <c r="C76" s="20"/>
      <c r="D76" s="20"/>
      <c r="E76" s="20"/>
      <c r="F76" s="20"/>
    </row>
    <row r="77">
      <c r="A77" s="34"/>
      <c r="C77" s="20"/>
      <c r="D77" s="20"/>
      <c r="E77" s="20"/>
      <c r="F77" s="20"/>
    </row>
    <row r="78">
      <c r="A78" s="34"/>
      <c r="C78" s="20"/>
      <c r="D78" s="20"/>
      <c r="E78" s="20"/>
      <c r="F78" s="20"/>
    </row>
    <row r="79">
      <c r="A79" s="34"/>
      <c r="C79" s="20"/>
      <c r="D79" s="20"/>
      <c r="E79" s="20"/>
      <c r="F79" s="20"/>
    </row>
    <row r="80">
      <c r="A80" s="34"/>
      <c r="C80" s="20"/>
      <c r="D80" s="20"/>
      <c r="E80" s="20"/>
      <c r="F80" s="20"/>
    </row>
    <row r="81">
      <c r="A81" s="34"/>
      <c r="C81" s="20"/>
      <c r="D81" s="20"/>
      <c r="E81" s="20"/>
      <c r="F81" s="20"/>
    </row>
    <row r="82">
      <c r="A82" s="34"/>
      <c r="C82" s="20"/>
      <c r="D82" s="20"/>
      <c r="E82" s="20"/>
      <c r="F82" s="20"/>
    </row>
    <row r="83">
      <c r="A83" s="34"/>
      <c r="C83" s="20"/>
      <c r="D83" s="20"/>
      <c r="E83" s="20"/>
      <c r="F83" s="20"/>
    </row>
    <row r="84">
      <c r="A84" s="34"/>
      <c r="C84" s="20"/>
      <c r="D84" s="20"/>
      <c r="E84" s="20"/>
      <c r="F84" s="20"/>
    </row>
    <row r="85">
      <c r="A85" s="34"/>
      <c r="C85" s="20"/>
      <c r="D85" s="20"/>
      <c r="E85" s="20"/>
      <c r="F85" s="20"/>
    </row>
    <row r="86">
      <c r="A86" s="34"/>
      <c r="C86" s="20"/>
      <c r="D86" s="20"/>
      <c r="E86" s="20"/>
      <c r="F86" s="20"/>
    </row>
    <row r="87">
      <c r="A87" s="34"/>
      <c r="C87" s="20"/>
      <c r="D87" s="20"/>
      <c r="E87" s="20"/>
      <c r="F87" s="20"/>
    </row>
    <row r="88">
      <c r="A88" s="34"/>
      <c r="C88" s="20"/>
      <c r="D88" s="20"/>
      <c r="E88" s="20"/>
      <c r="F88" s="20"/>
    </row>
    <row r="89">
      <c r="A89" s="34"/>
      <c r="C89" s="20"/>
      <c r="D89" s="20"/>
      <c r="E89" s="20"/>
      <c r="F89" s="20"/>
    </row>
    <row r="90">
      <c r="A90" s="34"/>
      <c r="C90" s="20"/>
      <c r="D90" s="20"/>
      <c r="E90" s="20"/>
      <c r="F90" s="20"/>
    </row>
    <row r="91">
      <c r="A91" s="34"/>
      <c r="C91" s="20"/>
      <c r="D91" s="20"/>
      <c r="E91" s="20"/>
      <c r="F91" s="20"/>
    </row>
    <row r="92">
      <c r="A92" s="34"/>
      <c r="C92" s="20"/>
      <c r="D92" s="20"/>
      <c r="E92" s="20"/>
      <c r="F92" s="20"/>
    </row>
    <row r="93">
      <c r="A93" s="34"/>
      <c r="C93" s="20"/>
      <c r="D93" s="20"/>
      <c r="E93" s="20"/>
      <c r="F93" s="20"/>
    </row>
    <row r="94">
      <c r="A94" s="34"/>
      <c r="C94" s="20"/>
      <c r="D94" s="20"/>
      <c r="E94" s="20"/>
      <c r="F94" s="20"/>
    </row>
    <row r="95">
      <c r="A95" s="34"/>
      <c r="C95" s="20"/>
      <c r="D95" s="20"/>
      <c r="E95" s="20"/>
      <c r="F95" s="20"/>
    </row>
    <row r="96">
      <c r="A96" s="34"/>
      <c r="C96" s="20"/>
      <c r="D96" s="20"/>
      <c r="E96" s="20"/>
      <c r="F96" s="20"/>
    </row>
    <row r="97">
      <c r="A97" s="34"/>
      <c r="C97" s="20"/>
      <c r="D97" s="20"/>
      <c r="E97" s="20"/>
      <c r="F97" s="20"/>
    </row>
    <row r="98">
      <c r="A98" s="34"/>
      <c r="C98" s="20"/>
      <c r="D98" s="20"/>
      <c r="E98" s="20"/>
      <c r="F98" s="20"/>
    </row>
    <row r="99">
      <c r="A99" s="34"/>
      <c r="C99" s="20"/>
      <c r="D99" s="20"/>
      <c r="E99" s="20"/>
      <c r="F99" s="20"/>
    </row>
    <row r="100">
      <c r="A100" s="34"/>
      <c r="C100" s="20"/>
      <c r="D100" s="20"/>
      <c r="E100" s="20"/>
      <c r="F100" s="20"/>
    </row>
    <row r="101">
      <c r="A101" s="34"/>
      <c r="C101" s="20"/>
      <c r="D101" s="20"/>
      <c r="E101" s="20"/>
      <c r="F101" s="20"/>
    </row>
    <row r="102">
      <c r="A102" s="34"/>
      <c r="C102" s="20"/>
      <c r="D102" s="20"/>
      <c r="E102" s="20"/>
      <c r="F102" s="20"/>
    </row>
    <row r="103">
      <c r="A103" s="34"/>
      <c r="C103" s="20"/>
      <c r="D103" s="20"/>
      <c r="E103" s="20"/>
      <c r="F103" s="20"/>
    </row>
    <row r="104">
      <c r="A104" s="34"/>
      <c r="C104" s="20"/>
      <c r="D104" s="20"/>
      <c r="E104" s="20"/>
      <c r="F104" s="20"/>
    </row>
    <row r="105">
      <c r="A105" s="34"/>
      <c r="C105" s="20"/>
      <c r="D105" s="20"/>
      <c r="E105" s="20"/>
      <c r="F105" s="20"/>
    </row>
    <row r="106">
      <c r="A106" s="34"/>
      <c r="C106" s="20"/>
      <c r="D106" s="20"/>
      <c r="E106" s="20"/>
      <c r="F106" s="20"/>
    </row>
    <row r="107">
      <c r="A107" s="34"/>
      <c r="C107" s="20"/>
      <c r="D107" s="20"/>
      <c r="E107" s="20"/>
      <c r="F107" s="20"/>
    </row>
    <row r="108">
      <c r="A108" s="34"/>
      <c r="C108" s="20"/>
      <c r="D108" s="20"/>
      <c r="E108" s="20"/>
      <c r="F108" s="20"/>
    </row>
    <row r="109">
      <c r="A109" s="34"/>
      <c r="C109" s="20"/>
      <c r="D109" s="20"/>
      <c r="E109" s="20"/>
      <c r="F109" s="20"/>
    </row>
    <row r="110">
      <c r="A110" s="34"/>
      <c r="C110" s="20"/>
      <c r="D110" s="20"/>
      <c r="E110" s="20"/>
      <c r="F110" s="20"/>
    </row>
    <row r="111">
      <c r="A111" s="34"/>
      <c r="C111" s="20"/>
      <c r="D111" s="20"/>
      <c r="E111" s="20"/>
      <c r="F111" s="20"/>
    </row>
    <row r="112">
      <c r="A112" s="34"/>
      <c r="C112" s="20"/>
      <c r="D112" s="20"/>
      <c r="E112" s="20"/>
      <c r="F112" s="20"/>
    </row>
    <row r="113">
      <c r="A113" s="34"/>
      <c r="C113" s="20"/>
      <c r="D113" s="20"/>
      <c r="E113" s="20"/>
      <c r="F113" s="20"/>
    </row>
    <row r="114">
      <c r="A114" s="34"/>
      <c r="C114" s="20"/>
      <c r="D114" s="20"/>
      <c r="E114" s="20"/>
      <c r="F114" s="20"/>
    </row>
    <row r="115">
      <c r="A115" s="34"/>
      <c r="C115" s="20"/>
      <c r="D115" s="20"/>
      <c r="E115" s="20"/>
      <c r="F115" s="20"/>
    </row>
    <row r="116">
      <c r="A116" s="34"/>
      <c r="C116" s="20"/>
      <c r="D116" s="20"/>
      <c r="E116" s="20"/>
      <c r="F116" s="20"/>
    </row>
    <row r="117">
      <c r="A117" s="34"/>
      <c r="C117" s="20"/>
      <c r="D117" s="20"/>
      <c r="E117" s="20"/>
      <c r="F117" s="20"/>
    </row>
    <row r="118">
      <c r="A118" s="34"/>
      <c r="C118" s="20"/>
      <c r="D118" s="20"/>
      <c r="E118" s="20"/>
      <c r="F118" s="20"/>
    </row>
    <row r="119">
      <c r="A119" s="34"/>
      <c r="C119" s="20"/>
      <c r="D119" s="20"/>
      <c r="E119" s="20"/>
      <c r="F119" s="20"/>
    </row>
    <row r="120">
      <c r="A120" s="34"/>
      <c r="C120" s="20"/>
      <c r="D120" s="20"/>
      <c r="E120" s="20"/>
      <c r="F120" s="20"/>
    </row>
    <row r="121">
      <c r="A121" s="34"/>
      <c r="C121" s="20"/>
      <c r="D121" s="20"/>
      <c r="E121" s="20"/>
      <c r="F121" s="20"/>
    </row>
    <row r="122">
      <c r="A122" s="34"/>
      <c r="C122" s="20"/>
      <c r="D122" s="20"/>
      <c r="E122" s="20"/>
      <c r="F122" s="20"/>
    </row>
    <row r="123">
      <c r="A123" s="34"/>
      <c r="C123" s="20"/>
      <c r="D123" s="20"/>
      <c r="E123" s="20"/>
      <c r="F123" s="20"/>
    </row>
    <row r="124">
      <c r="A124" s="34"/>
      <c r="C124" s="20"/>
      <c r="D124" s="20"/>
      <c r="E124" s="20"/>
      <c r="F124" s="20"/>
    </row>
    <row r="125">
      <c r="A125" s="34"/>
      <c r="C125" s="20"/>
      <c r="D125" s="20"/>
      <c r="E125" s="20"/>
      <c r="F125" s="20"/>
    </row>
    <row r="126">
      <c r="A126" s="34"/>
      <c r="C126" s="20"/>
      <c r="D126" s="20"/>
      <c r="E126" s="20"/>
      <c r="F126" s="20"/>
    </row>
    <row r="127">
      <c r="A127" s="34"/>
      <c r="C127" s="20"/>
      <c r="D127" s="20"/>
      <c r="E127" s="20"/>
      <c r="F127" s="20"/>
    </row>
    <row r="128">
      <c r="A128" s="34"/>
      <c r="C128" s="20"/>
      <c r="D128" s="20"/>
      <c r="E128" s="20"/>
      <c r="F128" s="20"/>
    </row>
    <row r="129">
      <c r="A129" s="34"/>
      <c r="C129" s="20"/>
      <c r="D129" s="20"/>
      <c r="E129" s="20"/>
      <c r="F129" s="20"/>
    </row>
    <row r="130">
      <c r="A130" s="34"/>
      <c r="C130" s="20"/>
      <c r="D130" s="20"/>
      <c r="E130" s="20"/>
      <c r="F130" s="20"/>
    </row>
    <row r="131">
      <c r="A131" s="34"/>
      <c r="C131" s="20"/>
      <c r="D131" s="20"/>
      <c r="E131" s="20"/>
      <c r="F131" s="20"/>
    </row>
    <row r="132">
      <c r="A132" s="34"/>
      <c r="C132" s="20"/>
      <c r="D132" s="20"/>
      <c r="E132" s="20"/>
      <c r="F132" s="20"/>
    </row>
    <row r="133">
      <c r="A133" s="34"/>
      <c r="C133" s="20"/>
      <c r="D133" s="20"/>
      <c r="E133" s="20"/>
      <c r="F133" s="20"/>
    </row>
    <row r="134">
      <c r="A134" s="34"/>
      <c r="C134" s="20"/>
      <c r="D134" s="20"/>
      <c r="E134" s="20"/>
      <c r="F134" s="20"/>
    </row>
    <row r="135">
      <c r="A135" s="34"/>
      <c r="C135" s="20"/>
      <c r="D135" s="20"/>
      <c r="E135" s="20"/>
      <c r="F135" s="20"/>
    </row>
    <row r="136">
      <c r="A136" s="34"/>
      <c r="C136" s="20"/>
      <c r="D136" s="20"/>
      <c r="E136" s="20"/>
      <c r="F136" s="20"/>
    </row>
    <row r="137">
      <c r="A137" s="34"/>
      <c r="C137" s="20"/>
      <c r="D137" s="20"/>
      <c r="E137" s="20"/>
      <c r="F137" s="20"/>
    </row>
    <row r="138">
      <c r="A138" s="34"/>
      <c r="C138" s="20"/>
      <c r="D138" s="20"/>
      <c r="E138" s="20"/>
      <c r="F138" s="20"/>
    </row>
    <row r="139">
      <c r="A139" s="34"/>
      <c r="C139" s="20"/>
      <c r="D139" s="20"/>
      <c r="E139" s="20"/>
      <c r="F139" s="20"/>
    </row>
    <row r="140">
      <c r="A140" s="34"/>
      <c r="C140" s="20"/>
      <c r="D140" s="20"/>
      <c r="E140" s="20"/>
      <c r="F140" s="20"/>
    </row>
    <row r="141">
      <c r="A141" s="34"/>
      <c r="C141" s="20"/>
      <c r="D141" s="20"/>
      <c r="E141" s="20"/>
      <c r="F141" s="20"/>
    </row>
    <row r="142">
      <c r="A142" s="34"/>
      <c r="C142" s="20"/>
      <c r="D142" s="20"/>
      <c r="E142" s="20"/>
      <c r="F142" s="20"/>
    </row>
    <row r="143">
      <c r="A143" s="34"/>
      <c r="C143" s="20"/>
      <c r="D143" s="20"/>
      <c r="E143" s="20"/>
      <c r="F143" s="20"/>
    </row>
    <row r="144">
      <c r="A144" s="34"/>
      <c r="C144" s="20"/>
      <c r="D144" s="20"/>
      <c r="E144" s="20"/>
      <c r="F144" s="20"/>
    </row>
    <row r="145">
      <c r="A145" s="34"/>
      <c r="C145" s="20"/>
      <c r="D145" s="20"/>
      <c r="E145" s="20"/>
      <c r="F145" s="20"/>
    </row>
    <row r="146">
      <c r="A146" s="34"/>
      <c r="C146" s="20"/>
      <c r="D146" s="20"/>
      <c r="E146" s="20"/>
      <c r="F146" s="20"/>
    </row>
    <row r="147">
      <c r="A147" s="34"/>
      <c r="C147" s="20"/>
      <c r="D147" s="20"/>
      <c r="E147" s="20"/>
      <c r="F147" s="20"/>
    </row>
    <row r="148">
      <c r="A148" s="34"/>
      <c r="C148" s="20"/>
      <c r="D148" s="20"/>
      <c r="E148" s="20"/>
      <c r="F148" s="20"/>
    </row>
    <row r="149">
      <c r="A149" s="34"/>
      <c r="C149" s="20"/>
      <c r="D149" s="20"/>
      <c r="E149" s="20"/>
      <c r="F149" s="20"/>
    </row>
    <row r="150">
      <c r="A150" s="34"/>
      <c r="C150" s="20"/>
      <c r="D150" s="20"/>
      <c r="E150" s="20"/>
      <c r="F150" s="20"/>
    </row>
    <row r="151">
      <c r="A151" s="34"/>
      <c r="C151" s="20"/>
      <c r="D151" s="20"/>
      <c r="E151" s="20"/>
      <c r="F151" s="20"/>
    </row>
    <row r="152">
      <c r="A152" s="34"/>
      <c r="C152" s="20"/>
      <c r="D152" s="20"/>
      <c r="E152" s="20"/>
      <c r="F152" s="20"/>
    </row>
    <row r="153">
      <c r="A153" s="34"/>
      <c r="C153" s="20"/>
      <c r="D153" s="20"/>
      <c r="E153" s="20"/>
      <c r="F153" s="20"/>
    </row>
    <row r="154">
      <c r="A154" s="34"/>
      <c r="C154" s="20"/>
      <c r="D154" s="20"/>
      <c r="E154" s="20"/>
      <c r="F154" s="20"/>
    </row>
    <row r="155">
      <c r="A155" s="34"/>
      <c r="C155" s="20"/>
      <c r="D155" s="20"/>
      <c r="E155" s="20"/>
      <c r="F155" s="20"/>
    </row>
    <row r="156">
      <c r="A156" s="34"/>
      <c r="C156" s="20"/>
      <c r="D156" s="20"/>
      <c r="E156" s="20"/>
      <c r="F156" s="20"/>
    </row>
    <row r="157">
      <c r="A157" s="34"/>
      <c r="C157" s="20"/>
      <c r="D157" s="20"/>
      <c r="E157" s="20"/>
      <c r="F157" s="20"/>
    </row>
    <row r="158">
      <c r="A158" s="34"/>
      <c r="C158" s="20"/>
      <c r="D158" s="20"/>
      <c r="E158" s="20"/>
      <c r="F158" s="20"/>
    </row>
    <row r="159">
      <c r="A159" s="34"/>
      <c r="C159" s="20"/>
      <c r="D159" s="20"/>
      <c r="E159" s="20"/>
      <c r="F159" s="20"/>
    </row>
    <row r="160">
      <c r="A160" s="34"/>
      <c r="C160" s="20"/>
      <c r="D160" s="20"/>
      <c r="E160" s="20"/>
      <c r="F160" s="20"/>
    </row>
    <row r="161">
      <c r="A161" s="34"/>
      <c r="C161" s="20"/>
      <c r="D161" s="20"/>
      <c r="E161" s="20"/>
      <c r="F161" s="20"/>
    </row>
    <row r="162">
      <c r="A162" s="34"/>
      <c r="C162" s="20"/>
      <c r="D162" s="20"/>
      <c r="E162" s="20"/>
      <c r="F162" s="20"/>
    </row>
    <row r="163">
      <c r="A163" s="34"/>
      <c r="C163" s="20"/>
      <c r="D163" s="20"/>
      <c r="E163" s="20"/>
      <c r="F163" s="20"/>
    </row>
    <row r="164">
      <c r="A164" s="34"/>
      <c r="C164" s="20"/>
      <c r="D164" s="20"/>
      <c r="E164" s="20"/>
      <c r="F164" s="20"/>
    </row>
    <row r="165">
      <c r="A165" s="34"/>
      <c r="C165" s="20"/>
      <c r="D165" s="20"/>
      <c r="E165" s="20"/>
      <c r="F165" s="20"/>
    </row>
    <row r="166">
      <c r="A166" s="34"/>
      <c r="C166" s="20"/>
      <c r="D166" s="20"/>
      <c r="E166" s="20"/>
      <c r="F166" s="20"/>
    </row>
    <row r="167">
      <c r="A167" s="34"/>
      <c r="C167" s="20"/>
      <c r="D167" s="20"/>
      <c r="E167" s="20"/>
      <c r="F167" s="20"/>
    </row>
    <row r="168">
      <c r="A168" s="34"/>
      <c r="C168" s="20"/>
      <c r="D168" s="20"/>
      <c r="E168" s="20"/>
      <c r="F168" s="20"/>
    </row>
    <row r="169">
      <c r="A169" s="34"/>
      <c r="C169" s="20"/>
      <c r="D169" s="20"/>
      <c r="E169" s="20"/>
      <c r="F169" s="20"/>
    </row>
    <row r="170">
      <c r="A170" s="34"/>
      <c r="C170" s="20"/>
      <c r="D170" s="20"/>
      <c r="E170" s="20"/>
      <c r="F170" s="20"/>
    </row>
    <row r="171">
      <c r="A171" s="34"/>
      <c r="C171" s="20"/>
      <c r="D171" s="20"/>
      <c r="E171" s="20"/>
      <c r="F171" s="20"/>
    </row>
    <row r="172">
      <c r="A172" s="34"/>
      <c r="C172" s="20"/>
      <c r="D172" s="20"/>
      <c r="E172" s="20"/>
      <c r="F172" s="20"/>
    </row>
    <row r="173">
      <c r="A173" s="34"/>
      <c r="C173" s="20"/>
      <c r="D173" s="20"/>
      <c r="E173" s="20"/>
      <c r="F173" s="20"/>
    </row>
    <row r="174">
      <c r="A174" s="34"/>
      <c r="C174" s="20"/>
      <c r="D174" s="20"/>
      <c r="E174" s="20"/>
      <c r="F174" s="20"/>
    </row>
    <row r="175">
      <c r="A175" s="34"/>
      <c r="C175" s="20"/>
      <c r="D175" s="20"/>
      <c r="E175" s="20"/>
      <c r="F175" s="20"/>
    </row>
    <row r="176">
      <c r="A176" s="34"/>
      <c r="C176" s="20"/>
      <c r="D176" s="20"/>
      <c r="E176" s="20"/>
      <c r="F176" s="20"/>
    </row>
    <row r="177">
      <c r="A177" s="34"/>
      <c r="C177" s="20"/>
      <c r="D177" s="20"/>
      <c r="E177" s="20"/>
      <c r="F177" s="20"/>
    </row>
    <row r="178">
      <c r="A178" s="34"/>
      <c r="C178" s="20"/>
      <c r="D178" s="20"/>
      <c r="E178" s="20"/>
      <c r="F178" s="20"/>
    </row>
    <row r="179">
      <c r="A179" s="34"/>
      <c r="C179" s="20"/>
      <c r="D179" s="20"/>
      <c r="E179" s="20"/>
      <c r="F179" s="20"/>
    </row>
    <row r="180">
      <c r="A180" s="34"/>
      <c r="C180" s="20"/>
      <c r="D180" s="20"/>
      <c r="E180" s="20"/>
      <c r="F180" s="20"/>
    </row>
    <row r="181">
      <c r="A181" s="34"/>
      <c r="C181" s="20"/>
      <c r="D181" s="20"/>
      <c r="E181" s="20"/>
      <c r="F181" s="20"/>
    </row>
    <row r="182">
      <c r="A182" s="34"/>
      <c r="C182" s="20"/>
      <c r="D182" s="20"/>
      <c r="E182" s="20"/>
      <c r="F182" s="20"/>
    </row>
    <row r="183">
      <c r="A183" s="34"/>
      <c r="C183" s="20"/>
      <c r="D183" s="20"/>
      <c r="E183" s="20"/>
      <c r="F183" s="20"/>
    </row>
    <row r="184">
      <c r="A184" s="34"/>
      <c r="C184" s="20"/>
      <c r="D184" s="20"/>
      <c r="E184" s="20"/>
      <c r="F184" s="20"/>
    </row>
    <row r="185">
      <c r="A185" s="34"/>
      <c r="C185" s="20"/>
      <c r="D185" s="20"/>
      <c r="E185" s="20"/>
      <c r="F185" s="20"/>
    </row>
    <row r="186">
      <c r="A186" s="34"/>
      <c r="C186" s="20"/>
      <c r="D186" s="20"/>
      <c r="E186" s="20"/>
      <c r="F186" s="20"/>
    </row>
    <row r="187">
      <c r="A187" s="34"/>
      <c r="C187" s="20"/>
      <c r="D187" s="20"/>
      <c r="E187" s="20"/>
      <c r="F187" s="20"/>
    </row>
    <row r="188">
      <c r="A188" s="34"/>
      <c r="C188" s="20"/>
      <c r="D188" s="20"/>
      <c r="E188" s="20"/>
      <c r="F188" s="20"/>
    </row>
    <row r="189">
      <c r="A189" s="34"/>
      <c r="C189" s="20"/>
      <c r="D189" s="20"/>
      <c r="E189" s="20"/>
      <c r="F189" s="20"/>
    </row>
    <row r="190">
      <c r="A190" s="34"/>
      <c r="C190" s="20"/>
      <c r="D190" s="20"/>
      <c r="E190" s="20"/>
      <c r="F190" s="20"/>
    </row>
    <row r="191">
      <c r="A191" s="34"/>
      <c r="C191" s="20"/>
      <c r="D191" s="20"/>
      <c r="E191" s="20"/>
      <c r="F191" s="20"/>
    </row>
    <row r="192">
      <c r="A192" s="34"/>
      <c r="C192" s="20"/>
      <c r="D192" s="20"/>
      <c r="E192" s="20"/>
      <c r="F192" s="20"/>
    </row>
    <row r="193">
      <c r="A193" s="34"/>
      <c r="C193" s="20"/>
      <c r="D193" s="20"/>
      <c r="E193" s="20"/>
      <c r="F193" s="20"/>
    </row>
    <row r="194">
      <c r="A194" s="34"/>
      <c r="C194" s="20"/>
      <c r="D194" s="20"/>
      <c r="E194" s="20"/>
      <c r="F194" s="20"/>
    </row>
    <row r="195">
      <c r="A195" s="34"/>
      <c r="C195" s="20"/>
      <c r="D195" s="20"/>
      <c r="E195" s="20"/>
      <c r="F195" s="20"/>
    </row>
    <row r="196">
      <c r="A196" s="34"/>
      <c r="C196" s="20"/>
      <c r="D196" s="20"/>
      <c r="E196" s="20"/>
      <c r="F196" s="20"/>
    </row>
    <row r="197">
      <c r="A197" s="34"/>
      <c r="C197" s="20"/>
      <c r="D197" s="20"/>
      <c r="E197" s="20"/>
      <c r="F197" s="20"/>
    </row>
    <row r="198">
      <c r="A198" s="34"/>
      <c r="C198" s="20"/>
      <c r="D198" s="20"/>
      <c r="E198" s="20"/>
      <c r="F198" s="20"/>
    </row>
    <row r="199">
      <c r="A199" s="34"/>
      <c r="C199" s="20"/>
      <c r="D199" s="20"/>
      <c r="E199" s="20"/>
      <c r="F199" s="20"/>
    </row>
    <row r="200">
      <c r="A200" s="34"/>
      <c r="C200" s="20"/>
      <c r="D200" s="20"/>
      <c r="E200" s="20"/>
      <c r="F200" s="20"/>
    </row>
    <row r="201">
      <c r="A201" s="34"/>
      <c r="C201" s="20"/>
      <c r="D201" s="20"/>
      <c r="E201" s="20"/>
      <c r="F201" s="20"/>
    </row>
    <row r="202">
      <c r="A202" s="34"/>
      <c r="C202" s="20"/>
      <c r="D202" s="20"/>
      <c r="E202" s="20"/>
      <c r="F202" s="20"/>
    </row>
    <row r="203">
      <c r="A203" s="34"/>
      <c r="C203" s="20"/>
      <c r="D203" s="20"/>
      <c r="E203" s="20"/>
      <c r="F203" s="20"/>
    </row>
    <row r="204">
      <c r="A204" s="34"/>
      <c r="C204" s="20"/>
      <c r="D204" s="20"/>
      <c r="E204" s="20"/>
      <c r="F204" s="20"/>
    </row>
    <row r="205">
      <c r="A205" s="34"/>
      <c r="C205" s="20"/>
      <c r="D205" s="20"/>
      <c r="E205" s="20"/>
      <c r="F205" s="20"/>
    </row>
    <row r="206">
      <c r="A206" s="34"/>
      <c r="C206" s="20"/>
      <c r="D206" s="20"/>
      <c r="E206" s="20"/>
      <c r="F206" s="20"/>
    </row>
    <row r="207">
      <c r="A207" s="34"/>
      <c r="C207" s="20"/>
      <c r="D207" s="20"/>
      <c r="E207" s="20"/>
      <c r="F207" s="20"/>
    </row>
    <row r="208">
      <c r="A208" s="34"/>
      <c r="C208" s="20"/>
      <c r="D208" s="20"/>
      <c r="E208" s="20"/>
      <c r="F208" s="20"/>
    </row>
    <row r="209">
      <c r="A209" s="34"/>
      <c r="C209" s="20"/>
      <c r="D209" s="20"/>
      <c r="E209" s="20"/>
      <c r="F209" s="20"/>
    </row>
    <row r="210">
      <c r="A210" s="34"/>
      <c r="C210" s="20"/>
      <c r="D210" s="20"/>
      <c r="E210" s="20"/>
      <c r="F210" s="20"/>
    </row>
    <row r="211">
      <c r="A211" s="34"/>
      <c r="C211" s="20"/>
      <c r="D211" s="20"/>
      <c r="E211" s="20"/>
      <c r="F211" s="20"/>
    </row>
    <row r="212">
      <c r="A212" s="34"/>
      <c r="C212" s="20"/>
      <c r="D212" s="20"/>
      <c r="E212" s="20"/>
      <c r="F212" s="20"/>
    </row>
    <row r="213">
      <c r="A213" s="34"/>
      <c r="C213" s="20"/>
      <c r="D213" s="20"/>
      <c r="E213" s="20"/>
      <c r="F213" s="20"/>
    </row>
    <row r="214">
      <c r="A214" s="34"/>
      <c r="C214" s="20"/>
      <c r="D214" s="20"/>
      <c r="E214" s="20"/>
      <c r="F214" s="20"/>
    </row>
    <row r="215">
      <c r="A215" s="34"/>
      <c r="C215" s="20"/>
      <c r="D215" s="20"/>
      <c r="E215" s="20"/>
      <c r="F215" s="20"/>
    </row>
    <row r="216">
      <c r="A216" s="34"/>
      <c r="C216" s="20"/>
      <c r="D216" s="20"/>
      <c r="E216" s="20"/>
      <c r="F216" s="20"/>
    </row>
    <row r="217">
      <c r="A217" s="34"/>
      <c r="C217" s="20"/>
      <c r="D217" s="20"/>
      <c r="E217" s="20"/>
      <c r="F217" s="20"/>
    </row>
    <row r="218">
      <c r="A218" s="34"/>
      <c r="C218" s="20"/>
      <c r="D218" s="20"/>
      <c r="E218" s="20"/>
      <c r="F218" s="20"/>
    </row>
    <row r="219">
      <c r="A219" s="34"/>
      <c r="C219" s="20"/>
      <c r="D219" s="20"/>
      <c r="E219" s="20"/>
      <c r="F219" s="20"/>
    </row>
    <row r="220">
      <c r="A220" s="34"/>
      <c r="C220" s="20"/>
      <c r="D220" s="20"/>
      <c r="E220" s="20"/>
      <c r="F220" s="20"/>
    </row>
    <row r="221">
      <c r="A221" s="34"/>
      <c r="C221" s="20"/>
      <c r="D221" s="20"/>
      <c r="E221" s="20"/>
      <c r="F221" s="20"/>
    </row>
    <row r="222">
      <c r="A222" s="34"/>
      <c r="C222" s="20"/>
      <c r="D222" s="20"/>
      <c r="E222" s="20"/>
      <c r="F222" s="20"/>
    </row>
    <row r="223">
      <c r="A223" s="34"/>
      <c r="C223" s="20"/>
      <c r="D223" s="20"/>
      <c r="E223" s="20"/>
      <c r="F223" s="20"/>
    </row>
    <row r="224">
      <c r="A224" s="34"/>
      <c r="C224" s="20"/>
      <c r="D224" s="20"/>
      <c r="E224" s="20"/>
      <c r="F224" s="20"/>
    </row>
    <row r="225">
      <c r="A225" s="34"/>
      <c r="C225" s="20"/>
      <c r="D225" s="20"/>
      <c r="E225" s="20"/>
      <c r="F225" s="20"/>
    </row>
    <row r="226">
      <c r="A226" s="34"/>
      <c r="C226" s="20"/>
      <c r="D226" s="20"/>
      <c r="E226" s="20"/>
      <c r="F226" s="20"/>
    </row>
    <row r="227">
      <c r="A227" s="34"/>
      <c r="C227" s="20"/>
      <c r="D227" s="20"/>
      <c r="E227" s="20"/>
      <c r="F227" s="20"/>
    </row>
    <row r="228">
      <c r="A228" s="34"/>
      <c r="C228" s="20"/>
      <c r="D228" s="20"/>
      <c r="E228" s="20"/>
      <c r="F228" s="20"/>
    </row>
    <row r="229">
      <c r="A229" s="34"/>
      <c r="C229" s="20"/>
      <c r="D229" s="20"/>
      <c r="E229" s="20"/>
      <c r="F229" s="20"/>
    </row>
    <row r="230">
      <c r="A230" s="34"/>
      <c r="C230" s="20"/>
      <c r="D230" s="20"/>
      <c r="E230" s="20"/>
      <c r="F230" s="20"/>
    </row>
    <row r="231">
      <c r="A231" s="34"/>
      <c r="C231" s="20"/>
      <c r="D231" s="20"/>
      <c r="E231" s="20"/>
      <c r="F231" s="20"/>
    </row>
    <row r="232">
      <c r="A232" s="34"/>
      <c r="C232" s="20"/>
      <c r="D232" s="20"/>
      <c r="E232" s="20"/>
      <c r="F232" s="20"/>
    </row>
    <row r="233">
      <c r="A233" s="34"/>
      <c r="C233" s="20"/>
      <c r="D233" s="20"/>
      <c r="E233" s="20"/>
      <c r="F233" s="20"/>
    </row>
    <row r="234">
      <c r="A234" s="34"/>
      <c r="C234" s="20"/>
      <c r="D234" s="20"/>
      <c r="E234" s="20"/>
      <c r="F234" s="20"/>
    </row>
    <row r="235">
      <c r="A235" s="34"/>
      <c r="C235" s="20"/>
      <c r="D235" s="20"/>
      <c r="E235" s="20"/>
      <c r="F235" s="20"/>
    </row>
    <row r="236">
      <c r="A236" s="34"/>
      <c r="C236" s="20"/>
      <c r="D236" s="20"/>
      <c r="E236" s="20"/>
      <c r="F236" s="20"/>
    </row>
    <row r="237">
      <c r="A237" s="34"/>
      <c r="C237" s="20"/>
      <c r="D237" s="20"/>
      <c r="E237" s="20"/>
      <c r="F237" s="20"/>
    </row>
    <row r="238">
      <c r="A238" s="34"/>
      <c r="C238" s="20"/>
      <c r="D238" s="20"/>
      <c r="E238" s="20"/>
      <c r="F238" s="20"/>
    </row>
    <row r="239">
      <c r="A239" s="34"/>
      <c r="C239" s="20"/>
      <c r="D239" s="20"/>
      <c r="E239" s="20"/>
      <c r="F239" s="20"/>
    </row>
    <row r="240">
      <c r="A240" s="34"/>
      <c r="C240" s="20"/>
      <c r="D240" s="20"/>
      <c r="E240" s="20"/>
      <c r="F240" s="20"/>
    </row>
    <row r="241">
      <c r="A241" s="34"/>
      <c r="C241" s="20"/>
      <c r="D241" s="20"/>
      <c r="E241" s="20"/>
      <c r="F241" s="20"/>
    </row>
    <row r="242">
      <c r="A242" s="34"/>
      <c r="C242" s="20"/>
      <c r="D242" s="20"/>
      <c r="E242" s="20"/>
      <c r="F242" s="20"/>
    </row>
    <row r="243">
      <c r="A243" s="34"/>
      <c r="C243" s="20"/>
      <c r="D243" s="20"/>
      <c r="E243" s="20"/>
      <c r="F243" s="20"/>
    </row>
    <row r="244">
      <c r="A244" s="34"/>
      <c r="C244" s="20"/>
      <c r="D244" s="20"/>
      <c r="E244" s="20"/>
      <c r="F244" s="20"/>
    </row>
    <row r="245">
      <c r="A245" s="34"/>
      <c r="C245" s="20"/>
      <c r="D245" s="20"/>
      <c r="E245" s="20"/>
      <c r="F245" s="20"/>
    </row>
    <row r="246">
      <c r="A246" s="34"/>
      <c r="C246" s="20"/>
      <c r="D246" s="20"/>
      <c r="E246" s="20"/>
      <c r="F246" s="20"/>
    </row>
    <row r="247">
      <c r="A247" s="34"/>
      <c r="C247" s="20"/>
      <c r="D247" s="20"/>
      <c r="E247" s="20"/>
      <c r="F247" s="20"/>
    </row>
    <row r="248">
      <c r="A248" s="34"/>
      <c r="C248" s="20"/>
      <c r="D248" s="20"/>
      <c r="E248" s="20"/>
      <c r="F248" s="20"/>
    </row>
    <row r="249">
      <c r="A249" s="34"/>
      <c r="C249" s="20"/>
      <c r="D249" s="20"/>
      <c r="E249" s="20"/>
      <c r="F249" s="20"/>
    </row>
    <row r="250">
      <c r="A250" s="34"/>
      <c r="C250" s="20"/>
      <c r="D250" s="20"/>
      <c r="E250" s="20"/>
      <c r="F250" s="20"/>
    </row>
    <row r="251">
      <c r="A251" s="34"/>
      <c r="C251" s="20"/>
      <c r="D251" s="20"/>
      <c r="E251" s="20"/>
      <c r="F251" s="20"/>
    </row>
    <row r="252">
      <c r="A252" s="34"/>
      <c r="C252" s="20"/>
      <c r="D252" s="20"/>
      <c r="E252" s="20"/>
      <c r="F252" s="20"/>
    </row>
    <row r="253">
      <c r="A253" s="34"/>
      <c r="C253" s="20"/>
      <c r="D253" s="20"/>
      <c r="E253" s="20"/>
      <c r="F253" s="20"/>
    </row>
    <row r="254">
      <c r="A254" s="34"/>
      <c r="C254" s="20"/>
      <c r="D254" s="20"/>
      <c r="E254" s="20"/>
      <c r="F254" s="20"/>
    </row>
    <row r="255">
      <c r="A255" s="34"/>
      <c r="C255" s="20"/>
      <c r="D255" s="20"/>
      <c r="E255" s="20"/>
      <c r="F255" s="20"/>
    </row>
    <row r="256">
      <c r="A256" s="34"/>
      <c r="C256" s="20"/>
      <c r="D256" s="20"/>
      <c r="E256" s="20"/>
      <c r="F256" s="20"/>
    </row>
    <row r="257">
      <c r="A257" s="34"/>
      <c r="C257" s="20"/>
      <c r="D257" s="20"/>
      <c r="E257" s="20"/>
      <c r="F257" s="20"/>
    </row>
    <row r="258">
      <c r="A258" s="34"/>
      <c r="C258" s="20"/>
      <c r="D258" s="20"/>
      <c r="E258" s="20"/>
      <c r="F258" s="20"/>
    </row>
    <row r="259">
      <c r="A259" s="34"/>
      <c r="C259" s="20"/>
      <c r="D259" s="20"/>
      <c r="E259" s="20"/>
      <c r="F259" s="20"/>
    </row>
    <row r="260">
      <c r="A260" s="34"/>
      <c r="C260" s="20"/>
      <c r="D260" s="20"/>
      <c r="E260" s="20"/>
      <c r="F260" s="20"/>
    </row>
    <row r="261">
      <c r="A261" s="34"/>
      <c r="C261" s="20"/>
      <c r="D261" s="20"/>
      <c r="E261" s="20"/>
      <c r="F261" s="20"/>
    </row>
    <row r="262">
      <c r="A262" s="34"/>
      <c r="C262" s="20"/>
      <c r="D262" s="20"/>
      <c r="E262" s="20"/>
      <c r="F262" s="20"/>
    </row>
    <row r="263">
      <c r="A263" s="34"/>
      <c r="C263" s="20"/>
      <c r="D263" s="20"/>
      <c r="E263" s="20"/>
      <c r="F263" s="20"/>
    </row>
    <row r="264">
      <c r="A264" s="34"/>
      <c r="C264" s="20"/>
      <c r="D264" s="20"/>
      <c r="E264" s="20"/>
      <c r="F264" s="20"/>
    </row>
    <row r="265">
      <c r="A265" s="34"/>
      <c r="C265" s="20"/>
      <c r="D265" s="20"/>
      <c r="E265" s="20"/>
      <c r="F265" s="20"/>
    </row>
    <row r="266">
      <c r="A266" s="34"/>
      <c r="C266" s="20"/>
      <c r="D266" s="20"/>
      <c r="E266" s="20"/>
      <c r="F266" s="20"/>
    </row>
    <row r="267">
      <c r="A267" s="34"/>
      <c r="C267" s="20"/>
      <c r="D267" s="20"/>
      <c r="E267" s="20"/>
      <c r="F267" s="20"/>
    </row>
    <row r="268">
      <c r="A268" s="34"/>
      <c r="C268" s="20"/>
      <c r="D268" s="20"/>
      <c r="E268" s="20"/>
      <c r="F268" s="20"/>
    </row>
    <row r="269">
      <c r="A269" s="34"/>
      <c r="C269" s="20"/>
      <c r="D269" s="20"/>
      <c r="E269" s="20"/>
      <c r="F269" s="20"/>
    </row>
    <row r="270">
      <c r="A270" s="34"/>
      <c r="C270" s="20"/>
      <c r="D270" s="20"/>
      <c r="E270" s="20"/>
      <c r="F270" s="20"/>
    </row>
    <row r="271">
      <c r="A271" s="34"/>
      <c r="C271" s="20"/>
      <c r="D271" s="20"/>
      <c r="E271" s="20"/>
      <c r="F271" s="20"/>
    </row>
    <row r="272">
      <c r="A272" s="34"/>
      <c r="C272" s="20"/>
      <c r="D272" s="20"/>
      <c r="E272" s="20"/>
      <c r="F272" s="20"/>
    </row>
    <row r="273">
      <c r="A273" s="34"/>
      <c r="C273" s="20"/>
      <c r="D273" s="20"/>
      <c r="E273" s="20"/>
      <c r="F273" s="20"/>
    </row>
    <row r="274">
      <c r="A274" s="34"/>
      <c r="C274" s="20"/>
      <c r="D274" s="20"/>
      <c r="E274" s="20"/>
      <c r="F274" s="20"/>
    </row>
    <row r="275">
      <c r="A275" s="34"/>
      <c r="C275" s="20"/>
      <c r="D275" s="20"/>
      <c r="E275" s="20"/>
      <c r="F275" s="20"/>
    </row>
    <row r="276">
      <c r="A276" s="34"/>
      <c r="C276" s="20"/>
      <c r="D276" s="20"/>
      <c r="E276" s="20"/>
      <c r="F276" s="20"/>
    </row>
    <row r="277">
      <c r="A277" s="34"/>
      <c r="C277" s="20"/>
      <c r="D277" s="20"/>
      <c r="E277" s="20"/>
      <c r="F277" s="20"/>
    </row>
    <row r="278">
      <c r="A278" s="34"/>
      <c r="C278" s="20"/>
      <c r="D278" s="20"/>
      <c r="E278" s="20"/>
      <c r="F278" s="20"/>
    </row>
    <row r="279">
      <c r="A279" s="34"/>
      <c r="C279" s="20"/>
      <c r="D279" s="20"/>
      <c r="E279" s="20"/>
      <c r="F279" s="20"/>
    </row>
    <row r="280">
      <c r="A280" s="34"/>
      <c r="C280" s="20"/>
      <c r="D280" s="20"/>
      <c r="E280" s="20"/>
      <c r="F280" s="20"/>
    </row>
    <row r="281">
      <c r="A281" s="34"/>
      <c r="C281" s="20"/>
      <c r="D281" s="20"/>
      <c r="E281" s="20"/>
      <c r="F281" s="20"/>
    </row>
    <row r="282">
      <c r="A282" s="34"/>
      <c r="C282" s="20"/>
      <c r="D282" s="20"/>
      <c r="E282" s="20"/>
      <c r="F282" s="20"/>
    </row>
    <row r="283">
      <c r="A283" s="34"/>
      <c r="C283" s="20"/>
      <c r="D283" s="20"/>
      <c r="E283" s="20"/>
      <c r="F283" s="20"/>
    </row>
    <row r="284">
      <c r="A284" s="34"/>
      <c r="C284" s="20"/>
      <c r="D284" s="20"/>
      <c r="E284" s="20"/>
      <c r="F284" s="20"/>
    </row>
    <row r="285">
      <c r="A285" s="34"/>
      <c r="C285" s="20"/>
      <c r="D285" s="20"/>
      <c r="E285" s="20"/>
      <c r="F285" s="20"/>
    </row>
    <row r="286">
      <c r="A286" s="34"/>
      <c r="C286" s="20"/>
      <c r="D286" s="20"/>
      <c r="E286" s="20"/>
      <c r="F286" s="20"/>
    </row>
    <row r="287">
      <c r="A287" s="34"/>
      <c r="C287" s="20"/>
      <c r="D287" s="20"/>
      <c r="E287" s="20"/>
      <c r="F287" s="20"/>
    </row>
    <row r="288">
      <c r="A288" s="34"/>
      <c r="C288" s="20"/>
      <c r="D288" s="20"/>
      <c r="E288" s="20"/>
      <c r="F288" s="20"/>
    </row>
    <row r="289">
      <c r="A289" s="34"/>
      <c r="C289" s="20"/>
      <c r="D289" s="20"/>
      <c r="E289" s="20"/>
      <c r="F289" s="20"/>
    </row>
    <row r="290">
      <c r="A290" s="34"/>
      <c r="C290" s="20"/>
      <c r="D290" s="20"/>
      <c r="E290" s="20"/>
      <c r="F290" s="20"/>
    </row>
    <row r="291">
      <c r="A291" s="34"/>
      <c r="C291" s="20"/>
      <c r="D291" s="20"/>
      <c r="E291" s="20"/>
      <c r="F291" s="20"/>
    </row>
    <row r="292">
      <c r="A292" s="34"/>
      <c r="C292" s="20"/>
      <c r="D292" s="20"/>
      <c r="E292" s="20"/>
      <c r="F292" s="20"/>
    </row>
    <row r="293">
      <c r="A293" s="34"/>
      <c r="C293" s="20"/>
      <c r="D293" s="20"/>
      <c r="E293" s="20"/>
      <c r="F293" s="20"/>
    </row>
    <row r="294">
      <c r="A294" s="34"/>
      <c r="C294" s="20"/>
      <c r="D294" s="20"/>
      <c r="E294" s="20"/>
      <c r="F294" s="20"/>
    </row>
    <row r="295">
      <c r="A295" s="34"/>
      <c r="C295" s="20"/>
      <c r="D295" s="20"/>
      <c r="E295" s="20"/>
      <c r="F295" s="20"/>
    </row>
    <row r="296">
      <c r="A296" s="34"/>
      <c r="C296" s="20"/>
      <c r="D296" s="20"/>
      <c r="E296" s="20"/>
      <c r="F296" s="20"/>
    </row>
    <row r="297">
      <c r="A297" s="34"/>
      <c r="C297" s="20"/>
      <c r="D297" s="20"/>
      <c r="E297" s="20"/>
      <c r="F297" s="20"/>
    </row>
    <row r="298">
      <c r="A298" s="34"/>
      <c r="C298" s="20"/>
      <c r="D298" s="20"/>
      <c r="E298" s="20"/>
      <c r="F298" s="20"/>
    </row>
    <row r="299">
      <c r="A299" s="34"/>
      <c r="C299" s="20"/>
      <c r="D299" s="20"/>
      <c r="E299" s="20"/>
      <c r="F299" s="20"/>
    </row>
    <row r="300">
      <c r="A300" s="34"/>
      <c r="C300" s="20"/>
      <c r="D300" s="20"/>
      <c r="E300" s="20"/>
      <c r="F300" s="20"/>
    </row>
    <row r="301">
      <c r="A301" s="34"/>
      <c r="C301" s="20"/>
      <c r="D301" s="20"/>
      <c r="E301" s="20"/>
      <c r="F301" s="20"/>
    </row>
    <row r="302">
      <c r="A302" s="34"/>
      <c r="C302" s="20"/>
      <c r="D302" s="20"/>
      <c r="E302" s="20"/>
      <c r="F302" s="20"/>
    </row>
    <row r="303">
      <c r="A303" s="34"/>
      <c r="C303" s="20"/>
      <c r="D303" s="20"/>
      <c r="E303" s="20"/>
      <c r="F303" s="20"/>
    </row>
    <row r="304">
      <c r="A304" s="34"/>
      <c r="C304" s="20"/>
      <c r="D304" s="20"/>
      <c r="E304" s="20"/>
      <c r="F304" s="20"/>
    </row>
    <row r="305">
      <c r="A305" s="34"/>
      <c r="C305" s="20"/>
      <c r="D305" s="20"/>
      <c r="E305" s="20"/>
      <c r="F305" s="20"/>
    </row>
    <row r="306">
      <c r="A306" s="34"/>
      <c r="C306" s="20"/>
      <c r="D306" s="20"/>
      <c r="E306" s="20"/>
      <c r="F306" s="20"/>
    </row>
    <row r="307">
      <c r="A307" s="34"/>
      <c r="C307" s="20"/>
      <c r="D307" s="20"/>
      <c r="E307" s="20"/>
      <c r="F307" s="20"/>
    </row>
    <row r="308">
      <c r="A308" s="34"/>
      <c r="C308" s="20"/>
      <c r="D308" s="20"/>
      <c r="E308" s="20"/>
      <c r="F308" s="20"/>
    </row>
    <row r="309">
      <c r="A309" s="34"/>
      <c r="C309" s="20"/>
      <c r="D309" s="20"/>
      <c r="E309" s="20"/>
      <c r="F309" s="20"/>
    </row>
    <row r="310">
      <c r="A310" s="34"/>
      <c r="C310" s="20"/>
      <c r="D310" s="20"/>
      <c r="E310" s="20"/>
      <c r="F310" s="20"/>
    </row>
    <row r="311">
      <c r="A311" s="34"/>
      <c r="C311" s="20"/>
      <c r="D311" s="20"/>
      <c r="E311" s="20"/>
      <c r="F311" s="20"/>
    </row>
    <row r="312">
      <c r="A312" s="34"/>
      <c r="C312" s="20"/>
      <c r="D312" s="20"/>
      <c r="E312" s="20"/>
      <c r="F312" s="20"/>
    </row>
    <row r="313">
      <c r="A313" s="34"/>
      <c r="C313" s="20"/>
      <c r="D313" s="20"/>
      <c r="E313" s="20"/>
      <c r="F313" s="20"/>
    </row>
    <row r="314">
      <c r="A314" s="34"/>
      <c r="C314" s="20"/>
      <c r="D314" s="20"/>
      <c r="E314" s="20"/>
      <c r="F314" s="20"/>
    </row>
    <row r="315">
      <c r="A315" s="34"/>
      <c r="C315" s="20"/>
      <c r="D315" s="20"/>
      <c r="E315" s="20"/>
      <c r="F315" s="20"/>
    </row>
    <row r="316">
      <c r="A316" s="34"/>
      <c r="C316" s="20"/>
      <c r="D316" s="20"/>
      <c r="E316" s="20"/>
      <c r="F316" s="20"/>
    </row>
    <row r="317">
      <c r="A317" s="34"/>
      <c r="C317" s="20"/>
      <c r="D317" s="20"/>
      <c r="E317" s="20"/>
      <c r="F317" s="20"/>
    </row>
    <row r="318">
      <c r="A318" s="34"/>
      <c r="C318" s="20"/>
      <c r="D318" s="20"/>
      <c r="E318" s="20"/>
      <c r="F318" s="20"/>
    </row>
    <row r="319">
      <c r="A319" s="34"/>
      <c r="C319" s="20"/>
      <c r="D319" s="20"/>
      <c r="E319" s="20"/>
      <c r="F319" s="20"/>
    </row>
    <row r="320">
      <c r="A320" s="34"/>
      <c r="C320" s="20"/>
      <c r="D320" s="20"/>
      <c r="E320" s="20"/>
      <c r="F320" s="20"/>
    </row>
    <row r="321">
      <c r="A321" s="34"/>
      <c r="C321" s="20"/>
      <c r="D321" s="20"/>
      <c r="E321" s="20"/>
      <c r="F321" s="20"/>
    </row>
    <row r="322">
      <c r="A322" s="34"/>
      <c r="C322" s="20"/>
      <c r="D322" s="20"/>
      <c r="E322" s="20"/>
      <c r="F322" s="20"/>
    </row>
    <row r="323">
      <c r="A323" s="34"/>
      <c r="C323" s="20"/>
      <c r="D323" s="20"/>
      <c r="E323" s="20"/>
      <c r="F323" s="20"/>
    </row>
    <row r="324">
      <c r="A324" s="34"/>
      <c r="C324" s="20"/>
      <c r="D324" s="20"/>
      <c r="E324" s="20"/>
      <c r="F324" s="20"/>
    </row>
    <row r="325">
      <c r="A325" s="34"/>
      <c r="C325" s="20"/>
      <c r="D325" s="20"/>
      <c r="E325" s="20"/>
      <c r="F325" s="20"/>
    </row>
    <row r="326">
      <c r="A326" s="34"/>
      <c r="C326" s="20"/>
      <c r="D326" s="20"/>
      <c r="E326" s="20"/>
      <c r="F326" s="20"/>
    </row>
    <row r="327">
      <c r="A327" s="34"/>
      <c r="C327" s="20"/>
      <c r="D327" s="20"/>
      <c r="E327" s="20"/>
      <c r="F327" s="20"/>
    </row>
    <row r="328">
      <c r="A328" s="34"/>
      <c r="C328" s="20"/>
      <c r="D328" s="20"/>
      <c r="E328" s="20"/>
      <c r="F328" s="20"/>
    </row>
    <row r="329">
      <c r="A329" s="34"/>
      <c r="C329" s="20"/>
      <c r="D329" s="20"/>
      <c r="E329" s="20"/>
      <c r="F329" s="20"/>
    </row>
    <row r="330">
      <c r="A330" s="34"/>
      <c r="C330" s="20"/>
      <c r="D330" s="20"/>
      <c r="E330" s="20"/>
      <c r="F330" s="20"/>
    </row>
    <row r="331">
      <c r="A331" s="34"/>
      <c r="C331" s="20"/>
      <c r="D331" s="20"/>
      <c r="E331" s="20"/>
      <c r="F331" s="20"/>
    </row>
    <row r="332">
      <c r="A332" s="34"/>
      <c r="C332" s="20"/>
      <c r="D332" s="20"/>
      <c r="E332" s="20"/>
      <c r="F332" s="20"/>
    </row>
    <row r="333">
      <c r="A333" s="34"/>
      <c r="C333" s="20"/>
      <c r="D333" s="20"/>
      <c r="E333" s="20"/>
      <c r="F333" s="20"/>
    </row>
    <row r="334">
      <c r="A334" s="34"/>
      <c r="C334" s="20"/>
      <c r="D334" s="20"/>
      <c r="E334" s="20"/>
      <c r="F334" s="20"/>
    </row>
    <row r="335">
      <c r="A335" s="34"/>
      <c r="C335" s="20"/>
      <c r="D335" s="20"/>
      <c r="E335" s="20"/>
      <c r="F335" s="20"/>
    </row>
    <row r="336">
      <c r="A336" s="34"/>
      <c r="C336" s="20"/>
      <c r="D336" s="20"/>
      <c r="E336" s="20"/>
      <c r="F336" s="20"/>
    </row>
    <row r="337">
      <c r="A337" s="34"/>
      <c r="C337" s="20"/>
      <c r="D337" s="20"/>
      <c r="E337" s="20"/>
      <c r="F337" s="20"/>
    </row>
    <row r="338">
      <c r="A338" s="34"/>
      <c r="C338" s="20"/>
      <c r="D338" s="20"/>
      <c r="E338" s="20"/>
      <c r="F338" s="20"/>
    </row>
    <row r="339">
      <c r="A339" s="34"/>
      <c r="C339" s="20"/>
      <c r="D339" s="20"/>
      <c r="E339" s="20"/>
      <c r="F339" s="20"/>
    </row>
    <row r="340">
      <c r="A340" s="34"/>
      <c r="C340" s="20"/>
      <c r="D340" s="20"/>
      <c r="E340" s="20"/>
      <c r="F340" s="20"/>
    </row>
    <row r="341">
      <c r="A341" s="34"/>
      <c r="C341" s="20"/>
      <c r="D341" s="20"/>
      <c r="E341" s="20"/>
      <c r="F341" s="20"/>
    </row>
    <row r="342">
      <c r="A342" s="34"/>
      <c r="C342" s="20"/>
      <c r="D342" s="20"/>
      <c r="E342" s="20"/>
      <c r="F342" s="20"/>
    </row>
    <row r="343">
      <c r="A343" s="34"/>
      <c r="C343" s="20"/>
      <c r="D343" s="20"/>
      <c r="E343" s="20"/>
      <c r="F343" s="20"/>
    </row>
    <row r="344">
      <c r="A344" s="34"/>
      <c r="C344" s="20"/>
      <c r="D344" s="20"/>
      <c r="E344" s="20"/>
      <c r="F344" s="20"/>
    </row>
    <row r="345">
      <c r="A345" s="34"/>
      <c r="C345" s="20"/>
      <c r="D345" s="20"/>
      <c r="E345" s="20"/>
      <c r="F345" s="20"/>
    </row>
    <row r="346">
      <c r="A346" s="34"/>
      <c r="C346" s="20"/>
      <c r="D346" s="20"/>
      <c r="E346" s="20"/>
      <c r="F346" s="20"/>
    </row>
    <row r="347">
      <c r="A347" s="34"/>
      <c r="C347" s="20"/>
      <c r="D347" s="20"/>
      <c r="E347" s="20"/>
      <c r="F347" s="20"/>
    </row>
    <row r="348">
      <c r="A348" s="34"/>
      <c r="C348" s="20"/>
      <c r="D348" s="20"/>
      <c r="E348" s="20"/>
      <c r="F348" s="20"/>
    </row>
    <row r="349">
      <c r="A349" s="34"/>
      <c r="C349" s="20"/>
      <c r="D349" s="20"/>
      <c r="E349" s="20"/>
      <c r="F349" s="20"/>
    </row>
    <row r="350">
      <c r="A350" s="34"/>
      <c r="C350" s="20"/>
      <c r="D350" s="20"/>
      <c r="E350" s="20"/>
      <c r="F350" s="20"/>
    </row>
    <row r="351">
      <c r="A351" s="34"/>
      <c r="C351" s="20"/>
      <c r="D351" s="20"/>
      <c r="E351" s="20"/>
      <c r="F351" s="20"/>
    </row>
    <row r="352">
      <c r="A352" s="34"/>
      <c r="C352" s="20"/>
      <c r="D352" s="20"/>
      <c r="E352" s="20"/>
      <c r="F352" s="20"/>
    </row>
    <row r="353">
      <c r="A353" s="34"/>
      <c r="C353" s="20"/>
      <c r="D353" s="20"/>
      <c r="E353" s="20"/>
      <c r="F353" s="20"/>
    </row>
    <row r="354">
      <c r="A354" s="34"/>
      <c r="C354" s="20"/>
      <c r="D354" s="20"/>
      <c r="E354" s="20"/>
      <c r="F354" s="20"/>
    </row>
    <row r="355">
      <c r="A355" s="34"/>
      <c r="C355" s="20"/>
      <c r="D355" s="20"/>
      <c r="E355" s="20"/>
      <c r="F355" s="20"/>
    </row>
    <row r="356">
      <c r="A356" s="34"/>
      <c r="C356" s="20"/>
      <c r="D356" s="20"/>
      <c r="E356" s="20"/>
      <c r="F356" s="20"/>
    </row>
    <row r="357">
      <c r="A357" s="34"/>
      <c r="C357" s="20"/>
      <c r="D357" s="20"/>
      <c r="E357" s="20"/>
      <c r="F357" s="20"/>
    </row>
    <row r="358">
      <c r="A358" s="34"/>
      <c r="C358" s="20"/>
      <c r="D358" s="20"/>
      <c r="E358" s="20"/>
      <c r="F358" s="20"/>
    </row>
    <row r="359">
      <c r="A359" s="34"/>
      <c r="C359" s="20"/>
      <c r="D359" s="20"/>
      <c r="E359" s="20"/>
      <c r="F359" s="20"/>
    </row>
    <row r="360">
      <c r="A360" s="34"/>
      <c r="C360" s="20"/>
      <c r="D360" s="20"/>
      <c r="E360" s="20"/>
      <c r="F360" s="20"/>
    </row>
    <row r="361">
      <c r="A361" s="34"/>
      <c r="C361" s="20"/>
      <c r="D361" s="20"/>
      <c r="E361" s="20"/>
      <c r="F361" s="20"/>
    </row>
    <row r="362">
      <c r="A362" s="34"/>
      <c r="C362" s="20"/>
      <c r="D362" s="20"/>
      <c r="E362" s="20"/>
      <c r="F362" s="20"/>
    </row>
    <row r="363">
      <c r="A363" s="34"/>
      <c r="C363" s="20"/>
      <c r="D363" s="20"/>
      <c r="E363" s="20"/>
      <c r="F363" s="20"/>
    </row>
    <row r="364">
      <c r="A364" s="34"/>
      <c r="C364" s="20"/>
      <c r="D364" s="20"/>
      <c r="E364" s="20"/>
      <c r="F364" s="20"/>
    </row>
    <row r="365">
      <c r="A365" s="34"/>
      <c r="C365" s="20"/>
      <c r="D365" s="20"/>
      <c r="E365" s="20"/>
      <c r="F365" s="20"/>
    </row>
    <row r="366">
      <c r="A366" s="34"/>
      <c r="C366" s="20"/>
      <c r="D366" s="20"/>
      <c r="E366" s="20"/>
      <c r="F366" s="20"/>
    </row>
    <row r="367">
      <c r="A367" s="34"/>
      <c r="C367" s="20"/>
      <c r="D367" s="20"/>
      <c r="E367" s="20"/>
      <c r="F367" s="20"/>
    </row>
    <row r="368">
      <c r="A368" s="34"/>
      <c r="C368" s="20"/>
      <c r="D368" s="20"/>
      <c r="E368" s="20"/>
      <c r="F368" s="20"/>
    </row>
    <row r="369">
      <c r="A369" s="34"/>
      <c r="C369" s="20"/>
      <c r="D369" s="20"/>
      <c r="E369" s="20"/>
      <c r="F369" s="20"/>
    </row>
    <row r="370">
      <c r="A370" s="34"/>
      <c r="C370" s="20"/>
      <c r="D370" s="20"/>
      <c r="E370" s="20"/>
      <c r="F370" s="20"/>
    </row>
    <row r="371">
      <c r="A371" s="34"/>
      <c r="C371" s="20"/>
      <c r="D371" s="20"/>
      <c r="E371" s="20"/>
      <c r="F371" s="20"/>
    </row>
    <row r="372">
      <c r="A372" s="34"/>
      <c r="C372" s="20"/>
      <c r="D372" s="20"/>
      <c r="E372" s="20"/>
      <c r="F372" s="20"/>
    </row>
    <row r="373">
      <c r="A373" s="34"/>
      <c r="C373" s="20"/>
      <c r="D373" s="20"/>
      <c r="E373" s="20"/>
      <c r="F373" s="20"/>
    </row>
    <row r="374">
      <c r="A374" s="34"/>
      <c r="C374" s="20"/>
      <c r="D374" s="20"/>
      <c r="E374" s="20"/>
      <c r="F374" s="20"/>
    </row>
    <row r="375">
      <c r="A375" s="34"/>
      <c r="C375" s="20"/>
      <c r="D375" s="20"/>
      <c r="E375" s="20"/>
      <c r="F375" s="20"/>
    </row>
    <row r="376">
      <c r="A376" s="34"/>
      <c r="C376" s="20"/>
      <c r="D376" s="20"/>
      <c r="E376" s="20"/>
      <c r="F376" s="20"/>
    </row>
    <row r="377">
      <c r="A377" s="34"/>
      <c r="C377" s="20"/>
      <c r="D377" s="20"/>
      <c r="E377" s="20"/>
      <c r="F377" s="20"/>
    </row>
    <row r="378">
      <c r="A378" s="34"/>
      <c r="C378" s="20"/>
      <c r="D378" s="20"/>
      <c r="E378" s="20"/>
      <c r="F378" s="20"/>
    </row>
    <row r="379">
      <c r="A379" s="34"/>
      <c r="C379" s="20"/>
      <c r="D379" s="20"/>
      <c r="E379" s="20"/>
      <c r="F379" s="20"/>
    </row>
    <row r="380">
      <c r="A380" s="34"/>
      <c r="C380" s="20"/>
      <c r="D380" s="20"/>
      <c r="E380" s="20"/>
      <c r="F380" s="20"/>
    </row>
    <row r="381">
      <c r="A381" s="34"/>
      <c r="C381" s="20"/>
      <c r="D381" s="20"/>
      <c r="E381" s="20"/>
      <c r="F381" s="20"/>
    </row>
    <row r="382">
      <c r="A382" s="34"/>
      <c r="C382" s="20"/>
      <c r="D382" s="20"/>
      <c r="E382" s="20"/>
      <c r="F382" s="20"/>
    </row>
    <row r="383">
      <c r="A383" s="34"/>
      <c r="C383" s="20"/>
      <c r="D383" s="20"/>
      <c r="E383" s="20"/>
      <c r="F383" s="20"/>
    </row>
    <row r="384">
      <c r="A384" s="34"/>
      <c r="C384" s="20"/>
      <c r="D384" s="20"/>
      <c r="E384" s="20"/>
      <c r="F384" s="20"/>
    </row>
    <row r="385">
      <c r="A385" s="34"/>
      <c r="C385" s="20"/>
      <c r="D385" s="20"/>
      <c r="E385" s="20"/>
      <c r="F385" s="20"/>
    </row>
    <row r="386">
      <c r="A386" s="34"/>
      <c r="C386" s="20"/>
      <c r="D386" s="20"/>
      <c r="E386" s="20"/>
      <c r="F386" s="20"/>
    </row>
    <row r="387">
      <c r="A387" s="34"/>
      <c r="C387" s="20"/>
      <c r="D387" s="20"/>
      <c r="E387" s="20"/>
      <c r="F387" s="20"/>
    </row>
    <row r="388">
      <c r="A388" s="34"/>
      <c r="C388" s="20"/>
      <c r="D388" s="20"/>
      <c r="E388" s="20"/>
      <c r="F388" s="20"/>
    </row>
    <row r="389">
      <c r="A389" s="34"/>
      <c r="C389" s="20"/>
      <c r="D389" s="20"/>
      <c r="E389" s="20"/>
      <c r="F389" s="20"/>
    </row>
    <row r="390">
      <c r="A390" s="34"/>
      <c r="C390" s="20"/>
      <c r="D390" s="20"/>
      <c r="E390" s="20"/>
      <c r="F390" s="20"/>
    </row>
    <row r="391">
      <c r="A391" s="34"/>
      <c r="C391" s="20"/>
      <c r="D391" s="20"/>
      <c r="E391" s="20"/>
      <c r="F391" s="20"/>
    </row>
    <row r="392">
      <c r="A392" s="34"/>
      <c r="C392" s="20"/>
      <c r="D392" s="20"/>
      <c r="E392" s="20"/>
      <c r="F392" s="20"/>
    </row>
    <row r="393">
      <c r="A393" s="34"/>
      <c r="C393" s="20"/>
      <c r="D393" s="20"/>
      <c r="E393" s="20"/>
      <c r="F393" s="20"/>
    </row>
    <row r="394">
      <c r="A394" s="34"/>
      <c r="C394" s="20"/>
      <c r="D394" s="20"/>
      <c r="E394" s="20"/>
      <c r="F394" s="20"/>
    </row>
    <row r="395">
      <c r="A395" s="34"/>
      <c r="C395" s="20"/>
      <c r="D395" s="20"/>
      <c r="E395" s="20"/>
      <c r="F395" s="20"/>
    </row>
    <row r="396">
      <c r="A396" s="34"/>
      <c r="C396" s="20"/>
      <c r="D396" s="20"/>
      <c r="E396" s="20"/>
      <c r="F396" s="20"/>
    </row>
    <row r="397">
      <c r="A397" s="34"/>
      <c r="C397" s="20"/>
      <c r="D397" s="20"/>
      <c r="E397" s="20"/>
      <c r="F397" s="20"/>
    </row>
    <row r="398">
      <c r="A398" s="34"/>
      <c r="C398" s="20"/>
      <c r="D398" s="20"/>
      <c r="E398" s="20"/>
      <c r="F398" s="20"/>
    </row>
    <row r="399">
      <c r="A399" s="34"/>
      <c r="C399" s="20"/>
      <c r="D399" s="20"/>
      <c r="E399" s="20"/>
      <c r="F399" s="20"/>
    </row>
    <row r="400">
      <c r="A400" s="34"/>
      <c r="C400" s="20"/>
      <c r="D400" s="20"/>
      <c r="E400" s="20"/>
      <c r="F400" s="20"/>
    </row>
    <row r="401">
      <c r="A401" s="34"/>
      <c r="C401" s="20"/>
      <c r="D401" s="20"/>
      <c r="E401" s="20"/>
      <c r="F401" s="20"/>
    </row>
    <row r="402">
      <c r="A402" s="34"/>
      <c r="C402" s="20"/>
      <c r="D402" s="20"/>
      <c r="E402" s="20"/>
      <c r="F402" s="20"/>
    </row>
    <row r="403">
      <c r="A403" s="34"/>
      <c r="C403" s="20"/>
      <c r="D403" s="20"/>
      <c r="E403" s="20"/>
      <c r="F403" s="20"/>
    </row>
    <row r="404">
      <c r="A404" s="34"/>
      <c r="C404" s="20"/>
      <c r="D404" s="20"/>
      <c r="E404" s="20"/>
      <c r="F404" s="20"/>
    </row>
    <row r="405">
      <c r="A405" s="34"/>
      <c r="C405" s="20"/>
      <c r="D405" s="20"/>
      <c r="E405" s="20"/>
      <c r="F405" s="20"/>
    </row>
    <row r="406">
      <c r="A406" s="34"/>
      <c r="C406" s="20"/>
      <c r="D406" s="20"/>
      <c r="E406" s="20"/>
      <c r="F406" s="20"/>
    </row>
    <row r="407">
      <c r="A407" s="34"/>
      <c r="C407" s="20"/>
      <c r="D407" s="20"/>
      <c r="E407" s="20"/>
      <c r="F407" s="20"/>
    </row>
    <row r="408">
      <c r="A408" s="34"/>
      <c r="C408" s="20"/>
      <c r="D408" s="20"/>
      <c r="E408" s="20"/>
      <c r="F408" s="20"/>
    </row>
    <row r="409">
      <c r="A409" s="34"/>
      <c r="C409" s="20"/>
      <c r="D409" s="20"/>
      <c r="E409" s="20"/>
      <c r="F409" s="20"/>
    </row>
    <row r="410">
      <c r="A410" s="34"/>
      <c r="C410" s="20"/>
      <c r="D410" s="20"/>
      <c r="E410" s="20"/>
      <c r="F410" s="20"/>
    </row>
    <row r="411">
      <c r="A411" s="34"/>
      <c r="C411" s="20"/>
      <c r="D411" s="20"/>
      <c r="E411" s="20"/>
      <c r="F411" s="20"/>
    </row>
    <row r="412">
      <c r="A412" s="34"/>
      <c r="C412" s="20"/>
      <c r="D412" s="20"/>
      <c r="E412" s="20"/>
      <c r="F412" s="20"/>
    </row>
    <row r="413">
      <c r="A413" s="34"/>
      <c r="C413" s="20"/>
      <c r="D413" s="20"/>
      <c r="E413" s="20"/>
      <c r="F413" s="20"/>
    </row>
    <row r="414">
      <c r="A414" s="34"/>
      <c r="C414" s="20"/>
      <c r="D414" s="20"/>
      <c r="E414" s="20"/>
      <c r="F414" s="20"/>
    </row>
    <row r="415">
      <c r="A415" s="34"/>
      <c r="C415" s="20"/>
      <c r="D415" s="20"/>
      <c r="E415" s="20"/>
      <c r="F415" s="20"/>
    </row>
    <row r="416">
      <c r="A416" s="34"/>
      <c r="C416" s="20"/>
      <c r="D416" s="20"/>
      <c r="E416" s="20"/>
      <c r="F416" s="20"/>
    </row>
    <row r="417">
      <c r="A417" s="34"/>
      <c r="C417" s="20"/>
      <c r="D417" s="20"/>
      <c r="E417" s="20"/>
      <c r="F417" s="20"/>
    </row>
    <row r="418">
      <c r="A418" s="34"/>
      <c r="C418" s="20"/>
      <c r="D418" s="20"/>
      <c r="E418" s="20"/>
      <c r="F418" s="20"/>
    </row>
    <row r="419">
      <c r="A419" s="34"/>
      <c r="C419" s="20"/>
      <c r="D419" s="20"/>
      <c r="E419" s="20"/>
      <c r="F419" s="20"/>
    </row>
    <row r="420">
      <c r="A420" s="34"/>
      <c r="C420" s="20"/>
      <c r="D420" s="20"/>
      <c r="E420" s="20"/>
      <c r="F420" s="20"/>
    </row>
    <row r="421">
      <c r="A421" s="34"/>
      <c r="C421" s="20"/>
      <c r="D421" s="20"/>
      <c r="E421" s="20"/>
      <c r="F421" s="20"/>
    </row>
    <row r="422">
      <c r="A422" s="34"/>
      <c r="C422" s="20"/>
      <c r="D422" s="20"/>
      <c r="E422" s="20"/>
      <c r="F422" s="20"/>
    </row>
    <row r="423">
      <c r="A423" s="34"/>
      <c r="C423" s="20"/>
      <c r="D423" s="20"/>
      <c r="E423" s="20"/>
      <c r="F423" s="20"/>
    </row>
    <row r="424">
      <c r="A424" s="34"/>
      <c r="C424" s="20"/>
      <c r="D424" s="20"/>
      <c r="E424" s="20"/>
      <c r="F424" s="20"/>
    </row>
    <row r="425">
      <c r="A425" s="34"/>
      <c r="C425" s="20"/>
      <c r="D425" s="20"/>
      <c r="E425" s="20"/>
      <c r="F425" s="20"/>
    </row>
    <row r="426">
      <c r="A426" s="34"/>
      <c r="C426" s="20"/>
      <c r="D426" s="20"/>
      <c r="E426" s="20"/>
      <c r="F426" s="20"/>
    </row>
    <row r="427">
      <c r="A427" s="34"/>
      <c r="C427" s="20"/>
      <c r="D427" s="20"/>
      <c r="E427" s="20"/>
      <c r="F427" s="20"/>
    </row>
    <row r="428">
      <c r="A428" s="34"/>
      <c r="C428" s="20"/>
      <c r="D428" s="20"/>
      <c r="E428" s="20"/>
      <c r="F428" s="20"/>
    </row>
    <row r="429">
      <c r="A429" s="34"/>
      <c r="C429" s="20"/>
      <c r="D429" s="20"/>
      <c r="E429" s="20"/>
      <c r="F429" s="20"/>
    </row>
    <row r="430">
      <c r="A430" s="34"/>
      <c r="C430" s="20"/>
      <c r="D430" s="20"/>
      <c r="E430" s="20"/>
      <c r="F430" s="20"/>
    </row>
    <row r="431">
      <c r="A431" s="34"/>
      <c r="C431" s="20"/>
      <c r="D431" s="20"/>
      <c r="E431" s="20"/>
      <c r="F431" s="20"/>
    </row>
    <row r="432">
      <c r="A432" s="34"/>
      <c r="C432" s="20"/>
      <c r="D432" s="20"/>
      <c r="E432" s="20"/>
      <c r="F432" s="20"/>
    </row>
    <row r="433">
      <c r="A433" s="34"/>
      <c r="C433" s="20"/>
      <c r="D433" s="20"/>
      <c r="E433" s="20"/>
      <c r="F433" s="20"/>
    </row>
    <row r="434">
      <c r="A434" s="34"/>
      <c r="C434" s="20"/>
      <c r="D434" s="20"/>
      <c r="E434" s="20"/>
      <c r="F434" s="20"/>
    </row>
    <row r="435">
      <c r="A435" s="34"/>
      <c r="C435" s="20"/>
      <c r="D435" s="20"/>
      <c r="E435" s="20"/>
      <c r="F435" s="20"/>
    </row>
    <row r="436">
      <c r="A436" s="34"/>
      <c r="C436" s="20"/>
      <c r="D436" s="20"/>
      <c r="E436" s="20"/>
      <c r="F436" s="20"/>
    </row>
    <row r="437">
      <c r="A437" s="34"/>
      <c r="C437" s="20"/>
      <c r="D437" s="20"/>
      <c r="E437" s="20"/>
      <c r="F437" s="20"/>
    </row>
    <row r="438">
      <c r="A438" s="34"/>
      <c r="C438" s="20"/>
      <c r="D438" s="20"/>
      <c r="E438" s="20"/>
      <c r="F438" s="20"/>
    </row>
    <row r="439">
      <c r="A439" s="34"/>
      <c r="C439" s="20"/>
      <c r="D439" s="20"/>
      <c r="E439" s="20"/>
      <c r="F439" s="20"/>
    </row>
    <row r="440">
      <c r="A440" s="34"/>
      <c r="C440" s="20"/>
      <c r="D440" s="20"/>
      <c r="E440" s="20"/>
      <c r="F440" s="20"/>
    </row>
    <row r="441">
      <c r="A441" s="34"/>
      <c r="C441" s="20"/>
      <c r="D441" s="20"/>
      <c r="E441" s="20"/>
      <c r="F441" s="20"/>
    </row>
    <row r="442">
      <c r="A442" s="34"/>
      <c r="C442" s="20"/>
      <c r="D442" s="20"/>
      <c r="E442" s="20"/>
      <c r="F442" s="20"/>
    </row>
    <row r="443">
      <c r="A443" s="34"/>
      <c r="C443" s="20"/>
      <c r="D443" s="20"/>
      <c r="E443" s="20"/>
      <c r="F443" s="20"/>
    </row>
    <row r="444">
      <c r="A444" s="34"/>
      <c r="C444" s="20"/>
      <c r="D444" s="20"/>
      <c r="E444" s="20"/>
      <c r="F444" s="20"/>
    </row>
    <row r="445">
      <c r="A445" s="34"/>
      <c r="C445" s="20"/>
      <c r="D445" s="20"/>
      <c r="E445" s="20"/>
      <c r="F445" s="20"/>
    </row>
    <row r="446">
      <c r="A446" s="34"/>
      <c r="C446" s="20"/>
      <c r="D446" s="20"/>
      <c r="E446" s="20"/>
      <c r="F446" s="20"/>
    </row>
    <row r="447">
      <c r="A447" s="34"/>
      <c r="C447" s="20"/>
      <c r="D447" s="20"/>
      <c r="E447" s="20"/>
      <c r="F447" s="20"/>
    </row>
    <row r="448">
      <c r="A448" s="34"/>
      <c r="C448" s="20"/>
      <c r="D448" s="20"/>
      <c r="E448" s="20"/>
      <c r="F448" s="20"/>
    </row>
    <row r="449">
      <c r="A449" s="34"/>
      <c r="C449" s="20"/>
      <c r="D449" s="20"/>
      <c r="E449" s="20"/>
      <c r="F449" s="20"/>
    </row>
    <row r="450">
      <c r="A450" s="34"/>
      <c r="C450" s="20"/>
      <c r="D450" s="20"/>
      <c r="E450" s="20"/>
      <c r="F450" s="20"/>
    </row>
    <row r="451">
      <c r="A451" s="34"/>
      <c r="C451" s="20"/>
      <c r="D451" s="20"/>
      <c r="E451" s="20"/>
      <c r="F451" s="20"/>
    </row>
    <row r="452">
      <c r="A452" s="34"/>
      <c r="C452" s="20"/>
      <c r="D452" s="20"/>
      <c r="E452" s="20"/>
      <c r="F452" s="20"/>
    </row>
    <row r="453">
      <c r="A453" s="34"/>
      <c r="C453" s="20"/>
      <c r="D453" s="20"/>
      <c r="E453" s="20"/>
      <c r="F453" s="20"/>
    </row>
    <row r="454">
      <c r="A454" s="34"/>
      <c r="C454" s="20"/>
      <c r="D454" s="20"/>
      <c r="E454" s="20"/>
      <c r="F454" s="20"/>
    </row>
    <row r="455">
      <c r="A455" s="34"/>
      <c r="C455" s="20"/>
      <c r="D455" s="20"/>
      <c r="E455" s="20"/>
      <c r="F455" s="20"/>
    </row>
    <row r="456">
      <c r="A456" s="34"/>
      <c r="C456" s="20"/>
      <c r="D456" s="20"/>
      <c r="E456" s="20"/>
      <c r="F456" s="20"/>
    </row>
    <row r="457">
      <c r="A457" s="34"/>
      <c r="C457" s="20"/>
      <c r="D457" s="20"/>
      <c r="E457" s="20"/>
      <c r="F457" s="20"/>
    </row>
    <row r="458">
      <c r="A458" s="34"/>
      <c r="C458" s="20"/>
      <c r="D458" s="20"/>
      <c r="E458" s="20"/>
      <c r="F458" s="20"/>
    </row>
    <row r="459">
      <c r="A459" s="34"/>
      <c r="C459" s="20"/>
      <c r="D459" s="20"/>
      <c r="E459" s="20"/>
      <c r="F459" s="20"/>
    </row>
    <row r="460">
      <c r="A460" s="34"/>
      <c r="C460" s="20"/>
      <c r="D460" s="20"/>
      <c r="E460" s="20"/>
      <c r="F460" s="20"/>
    </row>
    <row r="461">
      <c r="A461" s="34"/>
      <c r="C461" s="20"/>
      <c r="D461" s="20"/>
      <c r="E461" s="20"/>
      <c r="F461" s="20"/>
    </row>
    <row r="462">
      <c r="A462" s="34"/>
      <c r="C462" s="20"/>
      <c r="D462" s="20"/>
      <c r="E462" s="20"/>
      <c r="F462" s="20"/>
    </row>
    <row r="463">
      <c r="A463" s="34"/>
      <c r="C463" s="20"/>
      <c r="D463" s="20"/>
      <c r="E463" s="20"/>
      <c r="F463" s="20"/>
    </row>
    <row r="464">
      <c r="A464" s="34"/>
      <c r="C464" s="20"/>
      <c r="D464" s="20"/>
      <c r="E464" s="20"/>
      <c r="F464" s="20"/>
    </row>
    <row r="465">
      <c r="A465" s="34"/>
      <c r="C465" s="20"/>
      <c r="D465" s="20"/>
      <c r="E465" s="20"/>
      <c r="F465" s="20"/>
    </row>
    <row r="466">
      <c r="A466" s="34"/>
      <c r="C466" s="20"/>
      <c r="D466" s="20"/>
      <c r="E466" s="20"/>
      <c r="F466" s="20"/>
    </row>
    <row r="467">
      <c r="A467" s="34"/>
      <c r="C467" s="20"/>
      <c r="D467" s="20"/>
      <c r="E467" s="20"/>
      <c r="F467" s="20"/>
    </row>
    <row r="468">
      <c r="A468" s="34"/>
      <c r="C468" s="20"/>
      <c r="D468" s="20"/>
      <c r="E468" s="20"/>
      <c r="F468" s="20"/>
    </row>
    <row r="469">
      <c r="A469" s="34"/>
      <c r="C469" s="20"/>
      <c r="D469" s="20"/>
      <c r="E469" s="20"/>
      <c r="F469" s="20"/>
    </row>
    <row r="470">
      <c r="A470" s="34"/>
      <c r="C470" s="20"/>
      <c r="D470" s="20"/>
      <c r="E470" s="20"/>
      <c r="F470" s="20"/>
    </row>
    <row r="471">
      <c r="A471" s="34"/>
      <c r="C471" s="20"/>
      <c r="D471" s="20"/>
      <c r="E471" s="20"/>
      <c r="F471" s="20"/>
    </row>
    <row r="472">
      <c r="A472" s="34"/>
      <c r="C472" s="20"/>
      <c r="D472" s="20"/>
      <c r="E472" s="20"/>
      <c r="F472" s="20"/>
    </row>
    <row r="473">
      <c r="A473" s="34"/>
      <c r="C473" s="20"/>
      <c r="D473" s="20"/>
      <c r="E473" s="20"/>
      <c r="F473" s="20"/>
    </row>
    <row r="474">
      <c r="A474" s="34"/>
      <c r="C474" s="20"/>
      <c r="D474" s="20"/>
      <c r="E474" s="20"/>
      <c r="F474" s="20"/>
    </row>
    <row r="475">
      <c r="A475" s="34"/>
      <c r="C475" s="20"/>
      <c r="D475" s="20"/>
      <c r="E475" s="20"/>
      <c r="F475" s="20"/>
    </row>
    <row r="476">
      <c r="A476" s="34"/>
      <c r="C476" s="20"/>
      <c r="D476" s="20"/>
      <c r="E476" s="20"/>
      <c r="F476" s="20"/>
    </row>
    <row r="477">
      <c r="A477" s="34"/>
      <c r="C477" s="20"/>
      <c r="D477" s="20"/>
      <c r="E477" s="20"/>
      <c r="F477" s="20"/>
    </row>
    <row r="478">
      <c r="A478" s="34"/>
      <c r="C478" s="20"/>
      <c r="D478" s="20"/>
      <c r="E478" s="20"/>
      <c r="F478" s="20"/>
    </row>
    <row r="479">
      <c r="A479" s="34"/>
      <c r="C479" s="20"/>
      <c r="D479" s="20"/>
      <c r="E479" s="20"/>
      <c r="F479" s="20"/>
    </row>
    <row r="480">
      <c r="A480" s="34"/>
      <c r="C480" s="20"/>
      <c r="D480" s="20"/>
      <c r="E480" s="20"/>
      <c r="F480" s="20"/>
    </row>
    <row r="481">
      <c r="A481" s="34"/>
      <c r="C481" s="20"/>
      <c r="D481" s="20"/>
      <c r="E481" s="20"/>
      <c r="F481" s="20"/>
    </row>
    <row r="482">
      <c r="A482" s="34"/>
      <c r="C482" s="20"/>
      <c r="D482" s="20"/>
      <c r="E482" s="20"/>
      <c r="F482" s="20"/>
    </row>
    <row r="483">
      <c r="A483" s="34"/>
      <c r="C483" s="20"/>
      <c r="D483" s="20"/>
      <c r="E483" s="20"/>
      <c r="F483" s="20"/>
    </row>
    <row r="484">
      <c r="A484" s="34"/>
      <c r="C484" s="20"/>
      <c r="D484" s="20"/>
      <c r="E484" s="20"/>
      <c r="F484" s="20"/>
    </row>
    <row r="485">
      <c r="A485" s="34"/>
      <c r="C485" s="20"/>
      <c r="D485" s="20"/>
      <c r="E485" s="20"/>
      <c r="F485" s="20"/>
    </row>
    <row r="486">
      <c r="A486" s="34"/>
      <c r="C486" s="20"/>
      <c r="D486" s="20"/>
      <c r="E486" s="20"/>
      <c r="F486" s="20"/>
    </row>
    <row r="487">
      <c r="A487" s="34"/>
      <c r="C487" s="20"/>
      <c r="D487" s="20"/>
      <c r="E487" s="20"/>
      <c r="F487" s="20"/>
    </row>
    <row r="488">
      <c r="A488" s="34"/>
      <c r="C488" s="20"/>
      <c r="D488" s="20"/>
      <c r="E488" s="20"/>
      <c r="F488" s="20"/>
    </row>
    <row r="489">
      <c r="A489" s="34"/>
      <c r="C489" s="20"/>
      <c r="D489" s="20"/>
      <c r="E489" s="20"/>
      <c r="F489" s="20"/>
    </row>
    <row r="490">
      <c r="A490" s="34"/>
      <c r="C490" s="20"/>
      <c r="D490" s="20"/>
      <c r="E490" s="20"/>
      <c r="F490" s="20"/>
    </row>
    <row r="491">
      <c r="A491" s="34"/>
      <c r="C491" s="20"/>
      <c r="D491" s="20"/>
      <c r="E491" s="20"/>
      <c r="F491" s="20"/>
    </row>
    <row r="492">
      <c r="A492" s="34"/>
      <c r="C492" s="20"/>
      <c r="D492" s="20"/>
      <c r="E492" s="20"/>
      <c r="F492" s="20"/>
    </row>
    <row r="493">
      <c r="A493" s="34"/>
      <c r="C493" s="20"/>
      <c r="D493" s="20"/>
      <c r="E493" s="20"/>
      <c r="F493" s="20"/>
    </row>
    <row r="494">
      <c r="A494" s="34"/>
      <c r="C494" s="20"/>
      <c r="D494" s="20"/>
      <c r="E494" s="20"/>
      <c r="F494" s="20"/>
    </row>
    <row r="495">
      <c r="A495" s="34"/>
      <c r="C495" s="20"/>
      <c r="D495" s="20"/>
      <c r="E495" s="20"/>
      <c r="F495" s="20"/>
    </row>
    <row r="496">
      <c r="A496" s="34"/>
      <c r="C496" s="20"/>
      <c r="D496" s="20"/>
      <c r="E496" s="20"/>
      <c r="F496" s="20"/>
    </row>
    <row r="497">
      <c r="A497" s="34"/>
      <c r="C497" s="20"/>
      <c r="D497" s="20"/>
      <c r="E497" s="20"/>
      <c r="F497" s="20"/>
    </row>
    <row r="498">
      <c r="A498" s="34"/>
      <c r="C498" s="20"/>
      <c r="D498" s="20"/>
      <c r="E498" s="20"/>
      <c r="F498" s="20"/>
    </row>
    <row r="499">
      <c r="A499" s="34"/>
      <c r="C499" s="20"/>
      <c r="D499" s="20"/>
      <c r="E499" s="20"/>
      <c r="F499" s="20"/>
    </row>
    <row r="500">
      <c r="A500" s="34"/>
      <c r="C500" s="20"/>
      <c r="D500" s="20"/>
      <c r="E500" s="20"/>
      <c r="F500" s="20"/>
    </row>
    <row r="501">
      <c r="A501" s="34"/>
      <c r="C501" s="20"/>
      <c r="D501" s="20"/>
      <c r="E501" s="20"/>
      <c r="F501" s="20"/>
    </row>
    <row r="502">
      <c r="A502" s="34"/>
      <c r="C502" s="20"/>
      <c r="D502" s="20"/>
      <c r="E502" s="20"/>
      <c r="F502" s="20"/>
    </row>
    <row r="503">
      <c r="A503" s="34"/>
      <c r="C503" s="20"/>
      <c r="D503" s="20"/>
      <c r="E503" s="20"/>
      <c r="F503" s="20"/>
    </row>
    <row r="504">
      <c r="A504" s="34"/>
      <c r="C504" s="20"/>
      <c r="D504" s="20"/>
      <c r="E504" s="20"/>
      <c r="F504" s="20"/>
    </row>
    <row r="505">
      <c r="A505" s="34"/>
      <c r="C505" s="20"/>
      <c r="D505" s="20"/>
      <c r="E505" s="20"/>
      <c r="F505" s="20"/>
    </row>
    <row r="506">
      <c r="A506" s="34"/>
      <c r="C506" s="20"/>
      <c r="D506" s="20"/>
      <c r="E506" s="20"/>
      <c r="F506" s="20"/>
    </row>
    <row r="507">
      <c r="A507" s="34"/>
      <c r="C507" s="20"/>
      <c r="D507" s="20"/>
      <c r="E507" s="20"/>
      <c r="F507" s="20"/>
    </row>
    <row r="508">
      <c r="A508" s="34"/>
      <c r="C508" s="20"/>
      <c r="D508" s="20"/>
      <c r="E508" s="20"/>
      <c r="F508" s="20"/>
    </row>
    <row r="509">
      <c r="A509" s="34"/>
      <c r="C509" s="20"/>
      <c r="D509" s="20"/>
      <c r="E509" s="20"/>
      <c r="F509" s="20"/>
    </row>
    <row r="510">
      <c r="A510" s="34"/>
      <c r="C510" s="20"/>
      <c r="D510" s="20"/>
      <c r="E510" s="20"/>
      <c r="F510" s="20"/>
    </row>
    <row r="511">
      <c r="A511" s="34"/>
      <c r="C511" s="20"/>
      <c r="D511" s="20"/>
      <c r="E511" s="20"/>
      <c r="F511" s="20"/>
    </row>
    <row r="512">
      <c r="A512" s="34"/>
      <c r="C512" s="20"/>
      <c r="D512" s="20"/>
      <c r="E512" s="20"/>
      <c r="F512" s="20"/>
    </row>
    <row r="513">
      <c r="A513" s="34"/>
      <c r="C513" s="20"/>
      <c r="D513" s="20"/>
      <c r="E513" s="20"/>
      <c r="F513" s="20"/>
    </row>
    <row r="514">
      <c r="A514" s="34"/>
      <c r="C514" s="20"/>
      <c r="D514" s="20"/>
      <c r="E514" s="20"/>
      <c r="F514" s="20"/>
    </row>
    <row r="515">
      <c r="A515" s="34"/>
      <c r="C515" s="20"/>
      <c r="D515" s="20"/>
      <c r="E515" s="20"/>
      <c r="F515" s="20"/>
    </row>
    <row r="516">
      <c r="A516" s="34"/>
      <c r="C516" s="20"/>
      <c r="D516" s="20"/>
      <c r="E516" s="20"/>
      <c r="F516" s="20"/>
    </row>
    <row r="517">
      <c r="A517" s="34"/>
      <c r="C517" s="20"/>
      <c r="D517" s="20"/>
      <c r="E517" s="20"/>
      <c r="F517" s="20"/>
    </row>
    <row r="518">
      <c r="A518" s="34"/>
      <c r="C518" s="20"/>
      <c r="D518" s="20"/>
      <c r="E518" s="20"/>
      <c r="F518" s="20"/>
    </row>
    <row r="519">
      <c r="A519" s="34"/>
      <c r="C519" s="20"/>
      <c r="D519" s="20"/>
      <c r="E519" s="20"/>
      <c r="F519" s="20"/>
    </row>
    <row r="520">
      <c r="A520" s="34"/>
      <c r="C520" s="20"/>
      <c r="D520" s="20"/>
      <c r="E520" s="20"/>
      <c r="F520" s="20"/>
    </row>
    <row r="521">
      <c r="A521" s="34"/>
      <c r="C521" s="20"/>
      <c r="D521" s="20"/>
      <c r="E521" s="20"/>
      <c r="F521" s="20"/>
    </row>
    <row r="522">
      <c r="A522" s="34"/>
      <c r="C522" s="20"/>
      <c r="D522" s="20"/>
      <c r="E522" s="20"/>
      <c r="F522" s="20"/>
    </row>
    <row r="523">
      <c r="A523" s="34"/>
      <c r="C523" s="20"/>
      <c r="D523" s="20"/>
      <c r="E523" s="20"/>
      <c r="F523" s="20"/>
    </row>
    <row r="524">
      <c r="A524" s="34"/>
      <c r="C524" s="20"/>
      <c r="D524" s="20"/>
      <c r="E524" s="20"/>
      <c r="F524" s="20"/>
    </row>
    <row r="525">
      <c r="A525" s="34"/>
      <c r="C525" s="20"/>
      <c r="D525" s="20"/>
      <c r="E525" s="20"/>
      <c r="F525" s="20"/>
    </row>
    <row r="526">
      <c r="A526" s="34"/>
      <c r="C526" s="20"/>
      <c r="D526" s="20"/>
      <c r="E526" s="20"/>
      <c r="F526" s="20"/>
    </row>
    <row r="527">
      <c r="A527" s="34"/>
      <c r="C527" s="20"/>
      <c r="D527" s="20"/>
      <c r="E527" s="20"/>
      <c r="F527" s="20"/>
    </row>
    <row r="528">
      <c r="A528" s="34"/>
      <c r="C528" s="20"/>
      <c r="D528" s="20"/>
      <c r="E528" s="20"/>
      <c r="F528" s="20"/>
    </row>
    <row r="529">
      <c r="A529" s="34"/>
      <c r="C529" s="20"/>
      <c r="D529" s="20"/>
      <c r="E529" s="20"/>
      <c r="F529" s="20"/>
    </row>
    <row r="530">
      <c r="A530" s="34"/>
      <c r="C530" s="20"/>
      <c r="D530" s="20"/>
      <c r="E530" s="20"/>
      <c r="F530" s="20"/>
    </row>
    <row r="531">
      <c r="A531" s="34"/>
      <c r="C531" s="20"/>
      <c r="D531" s="20"/>
      <c r="E531" s="20"/>
      <c r="F531" s="20"/>
    </row>
    <row r="532">
      <c r="A532" s="34"/>
      <c r="C532" s="20"/>
      <c r="D532" s="20"/>
      <c r="E532" s="20"/>
      <c r="F532" s="20"/>
    </row>
    <row r="533">
      <c r="A533" s="34"/>
      <c r="C533" s="20"/>
      <c r="D533" s="20"/>
      <c r="E533" s="20"/>
      <c r="F533" s="20"/>
    </row>
    <row r="534">
      <c r="A534" s="34"/>
      <c r="C534" s="20"/>
      <c r="D534" s="20"/>
      <c r="E534" s="20"/>
      <c r="F534" s="20"/>
    </row>
    <row r="535">
      <c r="A535" s="34"/>
      <c r="C535" s="20"/>
      <c r="D535" s="20"/>
      <c r="E535" s="20"/>
      <c r="F535" s="20"/>
    </row>
    <row r="536">
      <c r="A536" s="34"/>
      <c r="C536" s="20"/>
      <c r="D536" s="20"/>
      <c r="E536" s="20"/>
      <c r="F536" s="20"/>
    </row>
    <row r="537">
      <c r="A537" s="34"/>
      <c r="C537" s="20"/>
      <c r="D537" s="20"/>
      <c r="E537" s="20"/>
      <c r="F537" s="20"/>
    </row>
    <row r="538">
      <c r="A538" s="34"/>
      <c r="C538" s="20"/>
      <c r="D538" s="20"/>
      <c r="E538" s="20"/>
      <c r="F538" s="20"/>
    </row>
    <row r="539">
      <c r="A539" s="34"/>
      <c r="C539" s="20"/>
      <c r="D539" s="20"/>
      <c r="E539" s="20"/>
      <c r="F539" s="20"/>
    </row>
    <row r="540">
      <c r="A540" s="34"/>
      <c r="C540" s="20"/>
      <c r="D540" s="20"/>
      <c r="E540" s="20"/>
      <c r="F540" s="20"/>
    </row>
    <row r="541">
      <c r="A541" s="34"/>
      <c r="C541" s="20"/>
      <c r="D541" s="20"/>
      <c r="E541" s="20"/>
      <c r="F541" s="20"/>
    </row>
    <row r="542">
      <c r="A542" s="34"/>
      <c r="C542" s="20"/>
      <c r="D542" s="20"/>
      <c r="E542" s="20"/>
      <c r="F542" s="20"/>
    </row>
    <row r="543">
      <c r="A543" s="34"/>
      <c r="C543" s="20"/>
      <c r="D543" s="20"/>
      <c r="E543" s="20"/>
      <c r="F543" s="20"/>
    </row>
    <row r="544">
      <c r="A544" s="34"/>
      <c r="C544" s="20"/>
      <c r="D544" s="20"/>
      <c r="E544" s="20"/>
      <c r="F544" s="20"/>
    </row>
    <row r="545">
      <c r="A545" s="34"/>
      <c r="C545" s="20"/>
      <c r="D545" s="20"/>
      <c r="E545" s="20"/>
      <c r="F545" s="20"/>
    </row>
    <row r="546">
      <c r="A546" s="34"/>
      <c r="C546" s="20"/>
      <c r="D546" s="20"/>
      <c r="E546" s="20"/>
      <c r="F546" s="20"/>
    </row>
    <row r="547">
      <c r="A547" s="34"/>
      <c r="C547" s="20"/>
      <c r="D547" s="20"/>
      <c r="E547" s="20"/>
      <c r="F547" s="20"/>
    </row>
    <row r="548">
      <c r="A548" s="34"/>
      <c r="C548" s="20"/>
      <c r="D548" s="20"/>
      <c r="E548" s="20"/>
      <c r="F548" s="20"/>
    </row>
    <row r="549">
      <c r="A549" s="34"/>
      <c r="C549" s="20"/>
      <c r="D549" s="20"/>
      <c r="E549" s="20"/>
      <c r="F549" s="20"/>
    </row>
    <row r="550">
      <c r="A550" s="34"/>
      <c r="C550" s="20"/>
      <c r="D550" s="20"/>
      <c r="E550" s="20"/>
      <c r="F550" s="20"/>
    </row>
    <row r="551">
      <c r="A551" s="34"/>
      <c r="C551" s="20"/>
      <c r="D551" s="20"/>
      <c r="E551" s="20"/>
      <c r="F551" s="20"/>
    </row>
    <row r="552">
      <c r="A552" s="34"/>
      <c r="C552" s="20"/>
      <c r="D552" s="20"/>
      <c r="E552" s="20"/>
      <c r="F552" s="20"/>
    </row>
    <row r="553">
      <c r="A553" s="34"/>
      <c r="C553" s="20"/>
      <c r="D553" s="20"/>
      <c r="E553" s="20"/>
      <c r="F553" s="20"/>
    </row>
    <row r="554">
      <c r="A554" s="34"/>
      <c r="C554" s="20"/>
      <c r="D554" s="20"/>
      <c r="E554" s="20"/>
      <c r="F554" s="20"/>
    </row>
    <row r="555">
      <c r="A555" s="34"/>
      <c r="C555" s="20"/>
      <c r="D555" s="20"/>
      <c r="E555" s="20"/>
      <c r="F555" s="20"/>
    </row>
    <row r="556">
      <c r="A556" s="34"/>
      <c r="C556" s="20"/>
      <c r="D556" s="20"/>
      <c r="E556" s="20"/>
      <c r="F556" s="20"/>
    </row>
    <row r="557">
      <c r="A557" s="34"/>
      <c r="C557" s="20"/>
      <c r="D557" s="20"/>
      <c r="E557" s="20"/>
      <c r="F557" s="20"/>
    </row>
    <row r="558">
      <c r="A558" s="34"/>
      <c r="C558" s="20"/>
      <c r="D558" s="20"/>
      <c r="E558" s="20"/>
      <c r="F558" s="20"/>
    </row>
    <row r="559">
      <c r="A559" s="34"/>
      <c r="C559" s="20"/>
      <c r="D559" s="20"/>
      <c r="E559" s="20"/>
      <c r="F559" s="20"/>
    </row>
    <row r="560">
      <c r="A560" s="34"/>
      <c r="C560" s="20"/>
      <c r="D560" s="20"/>
      <c r="E560" s="20"/>
      <c r="F560" s="20"/>
    </row>
    <row r="561">
      <c r="A561" s="34"/>
      <c r="C561" s="20"/>
      <c r="D561" s="20"/>
      <c r="E561" s="20"/>
      <c r="F561" s="20"/>
    </row>
    <row r="562">
      <c r="A562" s="34"/>
      <c r="C562" s="20"/>
      <c r="D562" s="20"/>
      <c r="E562" s="20"/>
      <c r="F562" s="20"/>
    </row>
    <row r="563">
      <c r="A563" s="34"/>
      <c r="C563" s="20"/>
      <c r="D563" s="20"/>
      <c r="E563" s="20"/>
      <c r="F563" s="20"/>
    </row>
    <row r="564">
      <c r="A564" s="34"/>
      <c r="C564" s="20"/>
      <c r="D564" s="20"/>
      <c r="E564" s="20"/>
      <c r="F564" s="20"/>
    </row>
    <row r="565">
      <c r="A565" s="34"/>
      <c r="C565" s="20"/>
      <c r="D565" s="20"/>
      <c r="E565" s="20"/>
      <c r="F565" s="20"/>
    </row>
    <row r="566">
      <c r="A566" s="34"/>
      <c r="C566" s="20"/>
      <c r="D566" s="20"/>
      <c r="E566" s="20"/>
      <c r="F566" s="20"/>
    </row>
    <row r="567">
      <c r="A567" s="34"/>
      <c r="C567" s="20"/>
      <c r="D567" s="20"/>
      <c r="E567" s="20"/>
      <c r="F567" s="20"/>
    </row>
    <row r="568">
      <c r="A568" s="34"/>
      <c r="C568" s="20"/>
      <c r="D568" s="20"/>
      <c r="E568" s="20"/>
      <c r="F568" s="20"/>
    </row>
    <row r="569">
      <c r="A569" s="34"/>
      <c r="C569" s="20"/>
      <c r="D569" s="20"/>
      <c r="E569" s="20"/>
      <c r="F569" s="20"/>
    </row>
    <row r="570">
      <c r="A570" s="34"/>
      <c r="C570" s="20"/>
      <c r="D570" s="20"/>
      <c r="E570" s="20"/>
      <c r="F570" s="20"/>
    </row>
    <row r="571">
      <c r="A571" s="34"/>
      <c r="C571" s="20"/>
      <c r="D571" s="20"/>
      <c r="E571" s="20"/>
      <c r="F571" s="20"/>
    </row>
    <row r="572">
      <c r="A572" s="34"/>
      <c r="C572" s="20"/>
      <c r="D572" s="20"/>
      <c r="E572" s="20"/>
      <c r="F572" s="20"/>
    </row>
    <row r="573">
      <c r="A573" s="34"/>
      <c r="C573" s="20"/>
      <c r="D573" s="20"/>
      <c r="E573" s="20"/>
      <c r="F573" s="20"/>
    </row>
    <row r="574">
      <c r="A574" s="34"/>
      <c r="C574" s="20"/>
      <c r="D574" s="20"/>
      <c r="E574" s="20"/>
      <c r="F574" s="20"/>
    </row>
    <row r="575">
      <c r="A575" s="34"/>
      <c r="C575" s="20"/>
      <c r="D575" s="20"/>
      <c r="E575" s="20"/>
      <c r="F575" s="20"/>
    </row>
    <row r="576">
      <c r="A576" s="34"/>
      <c r="C576" s="20"/>
      <c r="D576" s="20"/>
      <c r="E576" s="20"/>
      <c r="F576" s="20"/>
    </row>
    <row r="577">
      <c r="A577" s="34"/>
      <c r="C577" s="20"/>
      <c r="D577" s="20"/>
      <c r="E577" s="20"/>
      <c r="F577" s="20"/>
    </row>
    <row r="578">
      <c r="A578" s="34"/>
      <c r="C578" s="20"/>
      <c r="D578" s="20"/>
      <c r="E578" s="20"/>
      <c r="F578" s="20"/>
    </row>
    <row r="579">
      <c r="A579" s="34"/>
      <c r="C579" s="20"/>
      <c r="D579" s="20"/>
      <c r="E579" s="20"/>
      <c r="F579" s="20"/>
    </row>
    <row r="580">
      <c r="A580" s="34"/>
      <c r="C580" s="20"/>
      <c r="D580" s="20"/>
      <c r="E580" s="20"/>
      <c r="F580" s="20"/>
    </row>
    <row r="581">
      <c r="A581" s="34"/>
      <c r="C581" s="20"/>
      <c r="D581" s="20"/>
      <c r="E581" s="20"/>
      <c r="F581" s="20"/>
    </row>
    <row r="582">
      <c r="A582" s="34"/>
      <c r="C582" s="20"/>
      <c r="D582" s="20"/>
      <c r="E582" s="20"/>
      <c r="F582" s="20"/>
    </row>
    <row r="583">
      <c r="A583" s="34"/>
      <c r="C583" s="20"/>
      <c r="D583" s="20"/>
      <c r="E583" s="20"/>
      <c r="F583" s="20"/>
    </row>
    <row r="584">
      <c r="A584" s="34"/>
      <c r="C584" s="20"/>
      <c r="D584" s="20"/>
      <c r="E584" s="20"/>
      <c r="F584" s="20"/>
    </row>
    <row r="585">
      <c r="A585" s="34"/>
      <c r="C585" s="20"/>
      <c r="D585" s="20"/>
      <c r="E585" s="20"/>
      <c r="F585" s="20"/>
    </row>
    <row r="586">
      <c r="A586" s="34"/>
      <c r="C586" s="20"/>
      <c r="D586" s="20"/>
      <c r="E586" s="20"/>
      <c r="F586" s="20"/>
    </row>
    <row r="587">
      <c r="A587" s="34"/>
      <c r="C587" s="20"/>
      <c r="D587" s="20"/>
      <c r="E587" s="20"/>
      <c r="F587" s="20"/>
    </row>
    <row r="588">
      <c r="A588" s="34"/>
      <c r="C588" s="20"/>
      <c r="D588" s="20"/>
      <c r="E588" s="20"/>
      <c r="F588" s="20"/>
    </row>
    <row r="589">
      <c r="A589" s="34"/>
      <c r="C589" s="20"/>
      <c r="D589" s="20"/>
      <c r="E589" s="20"/>
      <c r="F589" s="20"/>
    </row>
    <row r="590">
      <c r="A590" s="34"/>
      <c r="C590" s="20"/>
      <c r="D590" s="20"/>
      <c r="E590" s="20"/>
      <c r="F590" s="20"/>
    </row>
    <row r="591">
      <c r="A591" s="34"/>
      <c r="C591" s="20"/>
      <c r="D591" s="20"/>
      <c r="E591" s="20"/>
      <c r="F591" s="20"/>
    </row>
    <row r="592">
      <c r="A592" s="34"/>
      <c r="C592" s="20"/>
      <c r="D592" s="20"/>
      <c r="E592" s="20"/>
      <c r="F592" s="20"/>
    </row>
    <row r="593">
      <c r="A593" s="34"/>
      <c r="C593" s="20"/>
      <c r="D593" s="20"/>
      <c r="E593" s="20"/>
      <c r="F593" s="20"/>
    </row>
    <row r="594">
      <c r="A594" s="34"/>
      <c r="C594" s="20"/>
      <c r="D594" s="20"/>
      <c r="E594" s="20"/>
      <c r="F594" s="20"/>
    </row>
    <row r="595">
      <c r="A595" s="34"/>
      <c r="C595" s="20"/>
      <c r="D595" s="20"/>
      <c r="E595" s="20"/>
      <c r="F595" s="20"/>
    </row>
    <row r="596">
      <c r="A596" s="34"/>
      <c r="C596" s="20"/>
      <c r="D596" s="20"/>
      <c r="E596" s="20"/>
      <c r="F596" s="20"/>
    </row>
    <row r="597">
      <c r="A597" s="34"/>
      <c r="C597" s="20"/>
      <c r="D597" s="20"/>
      <c r="E597" s="20"/>
      <c r="F597" s="20"/>
    </row>
    <row r="598">
      <c r="A598" s="34"/>
      <c r="C598" s="20"/>
      <c r="D598" s="20"/>
      <c r="E598" s="20"/>
      <c r="F598" s="20"/>
    </row>
    <row r="599">
      <c r="A599" s="34"/>
      <c r="C599" s="20"/>
      <c r="D599" s="20"/>
      <c r="E599" s="20"/>
      <c r="F599" s="20"/>
    </row>
    <row r="600">
      <c r="A600" s="34"/>
      <c r="C600" s="20"/>
      <c r="D600" s="20"/>
      <c r="E600" s="20"/>
      <c r="F600" s="20"/>
    </row>
    <row r="601">
      <c r="A601" s="34"/>
      <c r="C601" s="20"/>
      <c r="D601" s="20"/>
      <c r="E601" s="20"/>
      <c r="F601" s="20"/>
    </row>
    <row r="602">
      <c r="A602" s="34"/>
      <c r="C602" s="20"/>
      <c r="D602" s="20"/>
      <c r="E602" s="20"/>
      <c r="F602" s="20"/>
    </row>
    <row r="603">
      <c r="A603" s="34"/>
      <c r="C603" s="20"/>
      <c r="D603" s="20"/>
      <c r="E603" s="20"/>
      <c r="F603" s="20"/>
    </row>
    <row r="604">
      <c r="A604" s="34"/>
      <c r="C604" s="20"/>
      <c r="D604" s="20"/>
      <c r="E604" s="20"/>
      <c r="F604" s="20"/>
    </row>
    <row r="605">
      <c r="A605" s="34"/>
      <c r="C605" s="20"/>
      <c r="D605" s="20"/>
      <c r="E605" s="20"/>
      <c r="F605" s="20"/>
    </row>
    <row r="606">
      <c r="A606" s="34"/>
      <c r="C606" s="20"/>
      <c r="D606" s="20"/>
      <c r="E606" s="20"/>
      <c r="F606" s="20"/>
    </row>
    <row r="607">
      <c r="A607" s="34"/>
      <c r="C607" s="20"/>
      <c r="D607" s="20"/>
      <c r="E607" s="20"/>
      <c r="F607" s="20"/>
    </row>
    <row r="608">
      <c r="A608" s="34"/>
      <c r="C608" s="20"/>
      <c r="D608" s="20"/>
      <c r="E608" s="20"/>
      <c r="F608" s="20"/>
    </row>
    <row r="609">
      <c r="A609" s="34"/>
      <c r="C609" s="20"/>
      <c r="D609" s="20"/>
      <c r="E609" s="20"/>
      <c r="F609" s="20"/>
    </row>
    <row r="610">
      <c r="A610" s="34"/>
      <c r="C610" s="20"/>
      <c r="D610" s="20"/>
      <c r="E610" s="20"/>
      <c r="F610" s="20"/>
    </row>
    <row r="611">
      <c r="A611" s="34"/>
      <c r="C611" s="20"/>
      <c r="D611" s="20"/>
      <c r="E611" s="20"/>
      <c r="F611" s="20"/>
    </row>
    <row r="612">
      <c r="A612" s="34"/>
      <c r="C612" s="20"/>
      <c r="D612" s="20"/>
      <c r="E612" s="20"/>
      <c r="F612" s="20"/>
    </row>
    <row r="613">
      <c r="A613" s="34"/>
      <c r="C613" s="20"/>
      <c r="D613" s="20"/>
      <c r="E613" s="20"/>
      <c r="F613" s="20"/>
    </row>
    <row r="614">
      <c r="A614" s="34"/>
      <c r="C614" s="20"/>
      <c r="D614" s="20"/>
      <c r="E614" s="20"/>
      <c r="F614" s="20"/>
    </row>
    <row r="615">
      <c r="A615" s="34"/>
      <c r="C615" s="20"/>
      <c r="D615" s="20"/>
      <c r="E615" s="20"/>
      <c r="F615" s="20"/>
    </row>
    <row r="616">
      <c r="A616" s="34"/>
      <c r="C616" s="20"/>
      <c r="D616" s="20"/>
      <c r="E616" s="20"/>
      <c r="F616" s="20"/>
    </row>
    <row r="617">
      <c r="A617" s="34"/>
      <c r="C617" s="20"/>
      <c r="D617" s="20"/>
      <c r="E617" s="20"/>
      <c r="F617" s="20"/>
    </row>
    <row r="618">
      <c r="A618" s="34"/>
      <c r="C618" s="20"/>
      <c r="D618" s="20"/>
      <c r="E618" s="20"/>
      <c r="F618" s="20"/>
    </row>
    <row r="619">
      <c r="A619" s="34"/>
      <c r="C619" s="20"/>
      <c r="D619" s="20"/>
      <c r="E619" s="20"/>
      <c r="F619" s="20"/>
    </row>
    <row r="620">
      <c r="A620" s="34"/>
      <c r="C620" s="20"/>
      <c r="D620" s="20"/>
      <c r="E620" s="20"/>
      <c r="F620" s="20"/>
    </row>
    <row r="621">
      <c r="A621" s="34"/>
      <c r="C621" s="20"/>
      <c r="D621" s="20"/>
      <c r="E621" s="20"/>
      <c r="F621" s="20"/>
    </row>
    <row r="622">
      <c r="A622" s="34"/>
      <c r="C622" s="20"/>
      <c r="D622" s="20"/>
      <c r="E622" s="20"/>
      <c r="F622" s="20"/>
    </row>
    <row r="623">
      <c r="A623" s="34"/>
      <c r="C623" s="20"/>
      <c r="D623" s="20"/>
      <c r="E623" s="20"/>
      <c r="F623" s="20"/>
    </row>
    <row r="624">
      <c r="A624" s="34"/>
      <c r="C624" s="20"/>
      <c r="D624" s="20"/>
      <c r="E624" s="20"/>
      <c r="F624" s="20"/>
    </row>
    <row r="625">
      <c r="A625" s="34"/>
      <c r="C625" s="20"/>
      <c r="D625" s="20"/>
      <c r="E625" s="20"/>
      <c r="F625" s="20"/>
    </row>
    <row r="626">
      <c r="A626" s="34"/>
      <c r="C626" s="20"/>
      <c r="D626" s="20"/>
      <c r="E626" s="20"/>
      <c r="F626" s="20"/>
    </row>
    <row r="627">
      <c r="A627" s="34"/>
      <c r="C627" s="20"/>
      <c r="D627" s="20"/>
      <c r="E627" s="20"/>
      <c r="F627" s="20"/>
    </row>
    <row r="628">
      <c r="A628" s="34"/>
      <c r="C628" s="20"/>
      <c r="D628" s="20"/>
      <c r="E628" s="20"/>
      <c r="F628" s="20"/>
    </row>
    <row r="629">
      <c r="A629" s="34"/>
      <c r="C629" s="20"/>
      <c r="D629" s="20"/>
      <c r="E629" s="20"/>
      <c r="F629" s="20"/>
    </row>
    <row r="630">
      <c r="A630" s="34"/>
      <c r="C630" s="20"/>
      <c r="D630" s="20"/>
      <c r="E630" s="20"/>
      <c r="F630" s="20"/>
    </row>
    <row r="631">
      <c r="A631" s="34"/>
      <c r="C631" s="20"/>
      <c r="D631" s="20"/>
      <c r="E631" s="20"/>
      <c r="F631" s="20"/>
    </row>
    <row r="632">
      <c r="A632" s="34"/>
      <c r="C632" s="20"/>
      <c r="D632" s="20"/>
      <c r="E632" s="20"/>
      <c r="F632" s="20"/>
    </row>
    <row r="633">
      <c r="A633" s="34"/>
      <c r="C633" s="20"/>
      <c r="D633" s="20"/>
      <c r="E633" s="20"/>
      <c r="F633" s="20"/>
    </row>
    <row r="634">
      <c r="A634" s="34"/>
      <c r="C634" s="20"/>
      <c r="D634" s="20"/>
      <c r="E634" s="20"/>
      <c r="F634" s="20"/>
    </row>
    <row r="635">
      <c r="A635" s="34"/>
      <c r="C635" s="20"/>
      <c r="D635" s="20"/>
      <c r="E635" s="20"/>
      <c r="F635" s="20"/>
    </row>
    <row r="636">
      <c r="A636" s="34"/>
      <c r="C636" s="20"/>
      <c r="D636" s="20"/>
      <c r="E636" s="20"/>
      <c r="F636" s="20"/>
    </row>
    <row r="637">
      <c r="A637" s="34"/>
      <c r="C637" s="20"/>
      <c r="D637" s="20"/>
      <c r="E637" s="20"/>
      <c r="F637" s="20"/>
    </row>
    <row r="638">
      <c r="A638" s="34"/>
      <c r="C638" s="20"/>
      <c r="D638" s="20"/>
      <c r="E638" s="20"/>
      <c r="F638" s="20"/>
    </row>
    <row r="639">
      <c r="A639" s="34"/>
      <c r="C639" s="20"/>
      <c r="D639" s="20"/>
      <c r="E639" s="20"/>
      <c r="F639" s="20"/>
    </row>
    <row r="640">
      <c r="A640" s="34"/>
      <c r="C640" s="20"/>
      <c r="D640" s="20"/>
      <c r="E640" s="20"/>
      <c r="F640" s="20"/>
    </row>
    <row r="641">
      <c r="A641" s="34"/>
      <c r="C641" s="20"/>
      <c r="D641" s="20"/>
      <c r="E641" s="20"/>
      <c r="F641" s="20"/>
    </row>
    <row r="642">
      <c r="A642" s="34"/>
      <c r="C642" s="20"/>
      <c r="D642" s="20"/>
      <c r="E642" s="20"/>
      <c r="F642" s="20"/>
    </row>
    <row r="643">
      <c r="A643" s="34"/>
      <c r="C643" s="20"/>
      <c r="D643" s="20"/>
      <c r="E643" s="20"/>
      <c r="F643" s="20"/>
    </row>
    <row r="644">
      <c r="A644" s="34"/>
      <c r="C644" s="20"/>
      <c r="D644" s="20"/>
      <c r="E644" s="20"/>
      <c r="F644" s="20"/>
    </row>
    <row r="645">
      <c r="A645" s="34"/>
      <c r="C645" s="20"/>
      <c r="D645" s="20"/>
      <c r="E645" s="20"/>
      <c r="F645" s="20"/>
    </row>
    <row r="646">
      <c r="A646" s="34"/>
      <c r="C646" s="20"/>
      <c r="D646" s="20"/>
      <c r="E646" s="20"/>
      <c r="F646" s="20"/>
    </row>
    <row r="647">
      <c r="A647" s="34"/>
      <c r="C647" s="20"/>
      <c r="D647" s="20"/>
      <c r="E647" s="20"/>
      <c r="F647" s="20"/>
    </row>
    <row r="648">
      <c r="A648" s="34"/>
      <c r="C648" s="20"/>
      <c r="D648" s="20"/>
      <c r="E648" s="20"/>
      <c r="F648" s="20"/>
    </row>
    <row r="649">
      <c r="A649" s="34"/>
      <c r="C649" s="20"/>
      <c r="D649" s="20"/>
      <c r="E649" s="20"/>
      <c r="F649" s="20"/>
    </row>
    <row r="650">
      <c r="A650" s="34"/>
      <c r="C650" s="20"/>
      <c r="D650" s="20"/>
      <c r="E650" s="20"/>
      <c r="F650" s="20"/>
    </row>
    <row r="651">
      <c r="A651" s="34"/>
      <c r="C651" s="20"/>
      <c r="D651" s="20"/>
      <c r="E651" s="20"/>
      <c r="F651" s="20"/>
    </row>
    <row r="652">
      <c r="A652" s="34"/>
      <c r="C652" s="20"/>
      <c r="D652" s="20"/>
      <c r="E652" s="20"/>
      <c r="F652" s="20"/>
    </row>
    <row r="653">
      <c r="A653" s="34"/>
      <c r="C653" s="20"/>
      <c r="D653" s="20"/>
      <c r="E653" s="20"/>
      <c r="F653" s="20"/>
    </row>
    <row r="654">
      <c r="A654" s="34"/>
      <c r="C654" s="20"/>
      <c r="D654" s="20"/>
      <c r="E654" s="20"/>
      <c r="F654" s="20"/>
    </row>
    <row r="655">
      <c r="A655" s="34"/>
      <c r="C655" s="20"/>
      <c r="D655" s="20"/>
      <c r="E655" s="20"/>
      <c r="F655" s="20"/>
    </row>
    <row r="656">
      <c r="A656" s="34"/>
      <c r="C656" s="20"/>
      <c r="D656" s="20"/>
      <c r="E656" s="20"/>
      <c r="F656" s="20"/>
    </row>
    <row r="657">
      <c r="A657" s="34"/>
      <c r="C657" s="20"/>
      <c r="D657" s="20"/>
      <c r="E657" s="20"/>
      <c r="F657" s="20"/>
    </row>
    <row r="658">
      <c r="A658" s="34"/>
      <c r="C658" s="20"/>
      <c r="D658" s="20"/>
      <c r="E658" s="20"/>
      <c r="F658" s="20"/>
    </row>
    <row r="659">
      <c r="A659" s="34"/>
      <c r="C659" s="20"/>
      <c r="D659" s="20"/>
      <c r="E659" s="20"/>
      <c r="F659" s="20"/>
    </row>
    <row r="660">
      <c r="A660" s="34"/>
      <c r="C660" s="20"/>
      <c r="D660" s="20"/>
      <c r="E660" s="20"/>
      <c r="F660" s="20"/>
    </row>
    <row r="661">
      <c r="A661" s="34"/>
      <c r="C661" s="20"/>
      <c r="D661" s="20"/>
      <c r="E661" s="20"/>
      <c r="F661" s="20"/>
    </row>
    <row r="662">
      <c r="A662" s="34"/>
      <c r="C662" s="20"/>
      <c r="D662" s="20"/>
      <c r="E662" s="20"/>
      <c r="F662" s="20"/>
    </row>
    <row r="663">
      <c r="A663" s="34"/>
      <c r="C663" s="20"/>
      <c r="D663" s="20"/>
      <c r="E663" s="20"/>
      <c r="F663" s="20"/>
    </row>
    <row r="664">
      <c r="A664" s="34"/>
      <c r="C664" s="20"/>
      <c r="D664" s="20"/>
      <c r="E664" s="20"/>
      <c r="F664" s="20"/>
    </row>
    <row r="665">
      <c r="A665" s="34"/>
      <c r="C665" s="20"/>
      <c r="D665" s="20"/>
      <c r="E665" s="20"/>
      <c r="F665" s="20"/>
    </row>
    <row r="666">
      <c r="A666" s="34"/>
      <c r="C666" s="20"/>
      <c r="D666" s="20"/>
      <c r="E666" s="20"/>
      <c r="F666" s="20"/>
    </row>
    <row r="667">
      <c r="A667" s="34"/>
      <c r="C667" s="20"/>
      <c r="D667" s="20"/>
      <c r="E667" s="20"/>
      <c r="F667" s="20"/>
    </row>
    <row r="668">
      <c r="A668" s="34"/>
      <c r="C668" s="20"/>
      <c r="D668" s="20"/>
      <c r="E668" s="20"/>
      <c r="F668" s="20"/>
    </row>
    <row r="669">
      <c r="A669" s="34"/>
      <c r="C669" s="20"/>
      <c r="D669" s="20"/>
      <c r="E669" s="20"/>
      <c r="F669" s="20"/>
    </row>
    <row r="670">
      <c r="A670" s="34"/>
      <c r="C670" s="20"/>
      <c r="D670" s="20"/>
      <c r="E670" s="20"/>
      <c r="F670" s="20"/>
    </row>
    <row r="671">
      <c r="A671" s="34"/>
      <c r="C671" s="20"/>
      <c r="D671" s="20"/>
      <c r="E671" s="20"/>
      <c r="F671" s="20"/>
    </row>
    <row r="672">
      <c r="A672" s="34"/>
      <c r="C672" s="20"/>
      <c r="D672" s="20"/>
      <c r="E672" s="20"/>
      <c r="F672" s="20"/>
    </row>
    <row r="673">
      <c r="A673" s="34"/>
      <c r="C673" s="20"/>
      <c r="D673" s="20"/>
      <c r="E673" s="20"/>
      <c r="F673" s="20"/>
    </row>
    <row r="674">
      <c r="A674" s="34"/>
      <c r="C674" s="20"/>
      <c r="D674" s="20"/>
      <c r="E674" s="20"/>
      <c r="F674" s="20"/>
    </row>
    <row r="675">
      <c r="A675" s="34"/>
      <c r="C675" s="20"/>
      <c r="D675" s="20"/>
      <c r="E675" s="20"/>
      <c r="F675" s="20"/>
    </row>
    <row r="676">
      <c r="A676" s="34"/>
      <c r="C676" s="20"/>
      <c r="D676" s="20"/>
      <c r="E676" s="20"/>
      <c r="F676" s="20"/>
    </row>
    <row r="677">
      <c r="A677" s="34"/>
      <c r="C677" s="20"/>
      <c r="D677" s="20"/>
      <c r="E677" s="20"/>
      <c r="F677" s="20"/>
    </row>
    <row r="678">
      <c r="A678" s="34"/>
      <c r="C678" s="20"/>
      <c r="D678" s="20"/>
      <c r="E678" s="20"/>
      <c r="F678" s="20"/>
    </row>
    <row r="679">
      <c r="A679" s="34"/>
      <c r="C679" s="20"/>
      <c r="D679" s="20"/>
      <c r="E679" s="20"/>
      <c r="F679" s="20"/>
    </row>
    <row r="680">
      <c r="A680" s="34"/>
      <c r="C680" s="20"/>
      <c r="D680" s="20"/>
      <c r="E680" s="20"/>
      <c r="F680" s="20"/>
    </row>
    <row r="681">
      <c r="A681" s="34"/>
      <c r="C681" s="20"/>
      <c r="D681" s="20"/>
      <c r="E681" s="20"/>
      <c r="F681" s="20"/>
    </row>
    <row r="682">
      <c r="A682" s="34"/>
      <c r="C682" s="20"/>
      <c r="D682" s="20"/>
      <c r="E682" s="20"/>
      <c r="F682" s="20"/>
    </row>
    <row r="683">
      <c r="A683" s="34"/>
      <c r="C683" s="20"/>
      <c r="D683" s="20"/>
      <c r="E683" s="20"/>
      <c r="F683" s="20"/>
    </row>
    <row r="684">
      <c r="A684" s="34"/>
      <c r="C684" s="20"/>
      <c r="D684" s="20"/>
      <c r="E684" s="20"/>
      <c r="F684" s="20"/>
    </row>
    <row r="685">
      <c r="A685" s="34"/>
      <c r="C685" s="20"/>
      <c r="D685" s="20"/>
      <c r="E685" s="20"/>
      <c r="F685" s="20"/>
    </row>
    <row r="686">
      <c r="A686" s="34"/>
      <c r="C686" s="20"/>
      <c r="D686" s="20"/>
      <c r="E686" s="20"/>
      <c r="F686" s="20"/>
    </row>
    <row r="687">
      <c r="A687" s="34"/>
      <c r="C687" s="20"/>
      <c r="D687" s="20"/>
      <c r="E687" s="20"/>
      <c r="F687" s="20"/>
    </row>
    <row r="688">
      <c r="A688" s="34"/>
      <c r="C688" s="20"/>
      <c r="D688" s="20"/>
      <c r="E688" s="20"/>
      <c r="F688" s="20"/>
    </row>
    <row r="689">
      <c r="A689" s="34"/>
      <c r="C689" s="20"/>
      <c r="D689" s="20"/>
      <c r="E689" s="20"/>
      <c r="F689" s="20"/>
    </row>
    <row r="690">
      <c r="A690" s="34"/>
      <c r="C690" s="20"/>
      <c r="D690" s="20"/>
      <c r="E690" s="20"/>
      <c r="F690" s="20"/>
    </row>
    <row r="691">
      <c r="A691" s="34"/>
      <c r="C691" s="20"/>
      <c r="D691" s="20"/>
      <c r="E691" s="20"/>
      <c r="F691" s="20"/>
    </row>
    <row r="692">
      <c r="A692" s="34"/>
      <c r="C692" s="20"/>
      <c r="D692" s="20"/>
      <c r="E692" s="20"/>
      <c r="F692" s="20"/>
    </row>
    <row r="693">
      <c r="A693" s="34"/>
      <c r="C693" s="20"/>
      <c r="D693" s="20"/>
      <c r="E693" s="20"/>
      <c r="F693" s="20"/>
    </row>
    <row r="694">
      <c r="A694" s="34"/>
      <c r="C694" s="20"/>
      <c r="D694" s="20"/>
      <c r="E694" s="20"/>
      <c r="F694" s="20"/>
    </row>
    <row r="695">
      <c r="A695" s="34"/>
      <c r="C695" s="20"/>
      <c r="D695" s="20"/>
      <c r="E695" s="20"/>
      <c r="F695" s="20"/>
    </row>
    <row r="696">
      <c r="A696" s="34"/>
      <c r="C696" s="20"/>
      <c r="D696" s="20"/>
      <c r="E696" s="20"/>
      <c r="F696" s="20"/>
    </row>
    <row r="697">
      <c r="A697" s="34"/>
      <c r="C697" s="20"/>
      <c r="D697" s="20"/>
      <c r="E697" s="20"/>
      <c r="F697" s="20"/>
    </row>
    <row r="698">
      <c r="A698" s="34"/>
      <c r="C698" s="20"/>
      <c r="D698" s="20"/>
      <c r="E698" s="20"/>
      <c r="F698" s="20"/>
    </row>
    <row r="699">
      <c r="A699" s="34"/>
      <c r="C699" s="20"/>
      <c r="D699" s="20"/>
      <c r="E699" s="20"/>
      <c r="F699" s="20"/>
    </row>
    <row r="700">
      <c r="A700" s="34"/>
      <c r="C700" s="20"/>
      <c r="D700" s="20"/>
      <c r="E700" s="20"/>
      <c r="F700" s="20"/>
    </row>
    <row r="701">
      <c r="A701" s="34"/>
      <c r="C701" s="20"/>
      <c r="D701" s="20"/>
      <c r="E701" s="20"/>
      <c r="F701" s="20"/>
    </row>
    <row r="702">
      <c r="A702" s="34"/>
      <c r="C702" s="20"/>
      <c r="D702" s="20"/>
      <c r="E702" s="20"/>
      <c r="F702" s="20"/>
    </row>
    <row r="703">
      <c r="A703" s="34"/>
      <c r="C703" s="20"/>
      <c r="D703" s="20"/>
      <c r="E703" s="20"/>
      <c r="F703" s="20"/>
    </row>
    <row r="704">
      <c r="A704" s="34"/>
      <c r="C704" s="20"/>
      <c r="D704" s="20"/>
      <c r="E704" s="20"/>
      <c r="F704" s="20"/>
    </row>
    <row r="705">
      <c r="A705" s="34"/>
      <c r="C705" s="20"/>
      <c r="D705" s="20"/>
      <c r="E705" s="20"/>
      <c r="F705" s="20"/>
    </row>
    <row r="706">
      <c r="A706" s="34"/>
      <c r="C706" s="20"/>
      <c r="D706" s="20"/>
      <c r="E706" s="20"/>
      <c r="F706" s="20"/>
    </row>
    <row r="707">
      <c r="A707" s="34"/>
      <c r="C707" s="20"/>
      <c r="D707" s="20"/>
      <c r="E707" s="20"/>
      <c r="F707" s="20"/>
    </row>
    <row r="708">
      <c r="A708" s="34"/>
      <c r="C708" s="20"/>
      <c r="D708" s="20"/>
      <c r="E708" s="20"/>
      <c r="F708" s="20"/>
    </row>
    <row r="709">
      <c r="A709" s="34"/>
      <c r="C709" s="20"/>
      <c r="D709" s="20"/>
      <c r="E709" s="20"/>
      <c r="F709" s="20"/>
    </row>
    <row r="710">
      <c r="A710" s="34"/>
      <c r="C710" s="20"/>
      <c r="D710" s="20"/>
      <c r="E710" s="20"/>
      <c r="F710" s="20"/>
    </row>
    <row r="711">
      <c r="A711" s="34"/>
      <c r="C711" s="20"/>
      <c r="D711" s="20"/>
      <c r="E711" s="20"/>
      <c r="F711" s="20"/>
    </row>
    <row r="712">
      <c r="A712" s="34"/>
      <c r="C712" s="20"/>
      <c r="D712" s="20"/>
      <c r="E712" s="20"/>
      <c r="F712" s="20"/>
    </row>
    <row r="713">
      <c r="A713" s="34"/>
      <c r="C713" s="20"/>
      <c r="D713" s="20"/>
      <c r="E713" s="20"/>
      <c r="F713" s="20"/>
    </row>
    <row r="714">
      <c r="A714" s="34"/>
      <c r="C714" s="20"/>
      <c r="D714" s="20"/>
      <c r="E714" s="20"/>
      <c r="F714" s="20"/>
    </row>
    <row r="715">
      <c r="A715" s="34"/>
      <c r="C715" s="20"/>
      <c r="D715" s="20"/>
      <c r="E715" s="20"/>
      <c r="F715" s="20"/>
    </row>
    <row r="716">
      <c r="A716" s="34"/>
      <c r="C716" s="20"/>
      <c r="D716" s="20"/>
      <c r="E716" s="20"/>
      <c r="F716" s="20"/>
    </row>
    <row r="717">
      <c r="A717" s="34"/>
      <c r="C717" s="20"/>
      <c r="D717" s="20"/>
      <c r="E717" s="20"/>
      <c r="F717" s="20"/>
    </row>
    <row r="718">
      <c r="A718" s="34"/>
      <c r="C718" s="20"/>
      <c r="D718" s="20"/>
      <c r="E718" s="20"/>
      <c r="F718" s="20"/>
    </row>
    <row r="719">
      <c r="A719" s="34"/>
      <c r="C719" s="20"/>
      <c r="D719" s="20"/>
      <c r="E719" s="20"/>
      <c r="F719" s="20"/>
    </row>
    <row r="720">
      <c r="A720" s="34"/>
      <c r="C720" s="20"/>
      <c r="D720" s="20"/>
      <c r="E720" s="20"/>
      <c r="F720" s="20"/>
    </row>
    <row r="721">
      <c r="A721" s="34"/>
      <c r="C721" s="20"/>
      <c r="D721" s="20"/>
      <c r="E721" s="20"/>
      <c r="F721" s="20"/>
    </row>
    <row r="722">
      <c r="A722" s="34"/>
      <c r="C722" s="20"/>
      <c r="D722" s="20"/>
      <c r="E722" s="20"/>
      <c r="F722" s="20"/>
    </row>
    <row r="723">
      <c r="A723" s="34"/>
      <c r="C723" s="20"/>
      <c r="D723" s="20"/>
      <c r="E723" s="20"/>
      <c r="F723" s="20"/>
    </row>
    <row r="724">
      <c r="A724" s="34"/>
      <c r="C724" s="20"/>
      <c r="D724" s="20"/>
      <c r="E724" s="20"/>
      <c r="F724" s="20"/>
    </row>
    <row r="725">
      <c r="A725" s="34"/>
      <c r="C725" s="20"/>
      <c r="D725" s="20"/>
      <c r="E725" s="20"/>
      <c r="F725" s="20"/>
    </row>
    <row r="726">
      <c r="A726" s="34"/>
      <c r="C726" s="20"/>
      <c r="D726" s="20"/>
      <c r="E726" s="20"/>
      <c r="F726" s="20"/>
    </row>
    <row r="727">
      <c r="A727" s="34"/>
      <c r="C727" s="20"/>
      <c r="D727" s="20"/>
      <c r="E727" s="20"/>
      <c r="F727" s="20"/>
    </row>
    <row r="728">
      <c r="A728" s="34"/>
      <c r="C728" s="20"/>
      <c r="D728" s="20"/>
      <c r="E728" s="20"/>
      <c r="F728" s="20"/>
    </row>
    <row r="729">
      <c r="A729" s="34"/>
      <c r="C729" s="20"/>
      <c r="D729" s="20"/>
      <c r="E729" s="20"/>
      <c r="F729" s="20"/>
    </row>
    <row r="730">
      <c r="A730" s="34"/>
      <c r="C730" s="20"/>
      <c r="D730" s="20"/>
      <c r="E730" s="20"/>
      <c r="F730" s="20"/>
    </row>
    <row r="731">
      <c r="A731" s="34"/>
      <c r="C731" s="20"/>
      <c r="D731" s="20"/>
      <c r="E731" s="20"/>
      <c r="F731" s="20"/>
    </row>
    <row r="732">
      <c r="A732" s="34"/>
      <c r="C732" s="20"/>
      <c r="D732" s="20"/>
      <c r="E732" s="20"/>
      <c r="F732" s="20"/>
    </row>
    <row r="733">
      <c r="A733" s="34"/>
      <c r="C733" s="20"/>
      <c r="D733" s="20"/>
      <c r="E733" s="20"/>
      <c r="F733" s="20"/>
    </row>
    <row r="734">
      <c r="A734" s="34"/>
      <c r="C734" s="20"/>
      <c r="D734" s="20"/>
      <c r="E734" s="20"/>
      <c r="F734" s="20"/>
    </row>
    <row r="735">
      <c r="A735" s="34"/>
      <c r="C735" s="20"/>
      <c r="D735" s="20"/>
      <c r="E735" s="20"/>
      <c r="F735" s="20"/>
    </row>
    <row r="736">
      <c r="A736" s="34"/>
      <c r="C736" s="20"/>
      <c r="D736" s="20"/>
      <c r="E736" s="20"/>
      <c r="F736" s="20"/>
    </row>
    <row r="737">
      <c r="A737" s="34"/>
      <c r="C737" s="20"/>
      <c r="D737" s="20"/>
      <c r="E737" s="20"/>
      <c r="F737" s="20"/>
    </row>
    <row r="738">
      <c r="A738" s="34"/>
      <c r="C738" s="20"/>
      <c r="D738" s="20"/>
      <c r="E738" s="20"/>
      <c r="F738" s="20"/>
    </row>
    <row r="739">
      <c r="A739" s="34"/>
      <c r="C739" s="20"/>
      <c r="D739" s="20"/>
      <c r="E739" s="20"/>
      <c r="F739" s="20"/>
    </row>
    <row r="740">
      <c r="A740" s="34"/>
      <c r="C740" s="20"/>
      <c r="D740" s="20"/>
      <c r="E740" s="20"/>
      <c r="F740" s="20"/>
    </row>
    <row r="741">
      <c r="A741" s="34"/>
      <c r="C741" s="20"/>
      <c r="D741" s="20"/>
      <c r="E741" s="20"/>
      <c r="F741" s="20"/>
    </row>
    <row r="742">
      <c r="A742" s="34"/>
      <c r="C742" s="20"/>
      <c r="D742" s="20"/>
      <c r="E742" s="20"/>
      <c r="F742" s="20"/>
    </row>
    <row r="743">
      <c r="A743" s="34"/>
      <c r="C743" s="20"/>
      <c r="D743" s="20"/>
      <c r="E743" s="20"/>
      <c r="F743" s="20"/>
    </row>
    <row r="744">
      <c r="A744" s="34"/>
      <c r="C744" s="20"/>
      <c r="D744" s="20"/>
      <c r="E744" s="20"/>
      <c r="F744" s="20"/>
    </row>
    <row r="745">
      <c r="A745" s="34"/>
      <c r="C745" s="20"/>
      <c r="D745" s="20"/>
      <c r="E745" s="20"/>
      <c r="F745" s="20"/>
    </row>
    <row r="746">
      <c r="A746" s="34"/>
      <c r="C746" s="20"/>
      <c r="D746" s="20"/>
      <c r="E746" s="20"/>
      <c r="F746" s="20"/>
    </row>
    <row r="747">
      <c r="A747" s="34"/>
      <c r="C747" s="20"/>
      <c r="D747" s="20"/>
      <c r="E747" s="20"/>
      <c r="F747" s="20"/>
    </row>
    <row r="748">
      <c r="A748" s="34"/>
      <c r="C748" s="20"/>
      <c r="D748" s="20"/>
      <c r="E748" s="20"/>
      <c r="F748" s="20"/>
    </row>
    <row r="749">
      <c r="A749" s="34"/>
      <c r="C749" s="20"/>
      <c r="D749" s="20"/>
      <c r="E749" s="20"/>
      <c r="F749" s="20"/>
    </row>
    <row r="750">
      <c r="A750" s="34"/>
      <c r="C750" s="20"/>
      <c r="D750" s="20"/>
      <c r="E750" s="20"/>
      <c r="F750" s="20"/>
    </row>
    <row r="751">
      <c r="A751" s="34"/>
      <c r="C751" s="20"/>
      <c r="D751" s="20"/>
      <c r="E751" s="20"/>
      <c r="F751" s="20"/>
    </row>
    <row r="752">
      <c r="A752" s="34"/>
      <c r="C752" s="20"/>
      <c r="D752" s="20"/>
      <c r="E752" s="20"/>
      <c r="F752" s="20"/>
    </row>
    <row r="753">
      <c r="A753" s="34"/>
      <c r="C753" s="20"/>
      <c r="D753" s="20"/>
      <c r="E753" s="20"/>
      <c r="F753" s="20"/>
    </row>
    <row r="754">
      <c r="A754" s="34"/>
      <c r="C754" s="20"/>
      <c r="D754" s="20"/>
      <c r="E754" s="20"/>
      <c r="F754" s="20"/>
    </row>
    <row r="755">
      <c r="A755" s="34"/>
      <c r="C755" s="20"/>
      <c r="D755" s="20"/>
      <c r="E755" s="20"/>
      <c r="F755" s="20"/>
    </row>
    <row r="756">
      <c r="A756" s="34"/>
      <c r="C756" s="20"/>
      <c r="D756" s="20"/>
      <c r="E756" s="20"/>
      <c r="F756" s="20"/>
    </row>
    <row r="757">
      <c r="A757" s="34"/>
      <c r="C757" s="20"/>
      <c r="D757" s="20"/>
      <c r="E757" s="20"/>
      <c r="F757" s="20"/>
    </row>
    <row r="758">
      <c r="A758" s="34"/>
      <c r="C758" s="20"/>
      <c r="D758" s="20"/>
      <c r="E758" s="20"/>
      <c r="F758" s="20"/>
    </row>
    <row r="759">
      <c r="A759" s="34"/>
      <c r="C759" s="20"/>
      <c r="D759" s="20"/>
      <c r="E759" s="20"/>
      <c r="F759" s="20"/>
    </row>
    <row r="760">
      <c r="A760" s="34"/>
      <c r="C760" s="20"/>
      <c r="D760" s="20"/>
      <c r="E760" s="20"/>
      <c r="F760" s="20"/>
    </row>
    <row r="761">
      <c r="A761" s="34"/>
      <c r="C761" s="20"/>
      <c r="D761" s="20"/>
      <c r="E761" s="20"/>
      <c r="F761" s="20"/>
    </row>
    <row r="762">
      <c r="A762" s="34"/>
      <c r="C762" s="20"/>
      <c r="D762" s="20"/>
      <c r="E762" s="20"/>
      <c r="F762" s="20"/>
    </row>
    <row r="763">
      <c r="A763" s="34"/>
      <c r="C763" s="20"/>
      <c r="D763" s="20"/>
      <c r="E763" s="20"/>
      <c r="F763" s="20"/>
    </row>
    <row r="764">
      <c r="A764" s="34"/>
      <c r="C764" s="20"/>
      <c r="D764" s="20"/>
      <c r="E764" s="20"/>
      <c r="F764" s="20"/>
    </row>
    <row r="765">
      <c r="A765" s="34"/>
      <c r="C765" s="20"/>
      <c r="D765" s="20"/>
      <c r="E765" s="20"/>
      <c r="F765" s="20"/>
    </row>
    <row r="766">
      <c r="A766" s="34"/>
      <c r="C766" s="20"/>
      <c r="D766" s="20"/>
      <c r="E766" s="20"/>
      <c r="F766" s="20"/>
    </row>
    <row r="767">
      <c r="A767" s="34"/>
      <c r="C767" s="20"/>
      <c r="D767" s="20"/>
      <c r="E767" s="20"/>
      <c r="F767" s="20"/>
    </row>
    <row r="768">
      <c r="A768" s="34"/>
      <c r="C768" s="20"/>
      <c r="D768" s="20"/>
      <c r="E768" s="20"/>
      <c r="F768" s="20"/>
    </row>
    <row r="769">
      <c r="A769" s="34"/>
      <c r="C769" s="20"/>
      <c r="D769" s="20"/>
      <c r="E769" s="20"/>
      <c r="F769" s="20"/>
    </row>
    <row r="770">
      <c r="A770" s="34"/>
      <c r="C770" s="20"/>
      <c r="D770" s="20"/>
      <c r="E770" s="20"/>
      <c r="F770" s="20"/>
    </row>
    <row r="771">
      <c r="A771" s="34"/>
      <c r="C771" s="20"/>
      <c r="D771" s="20"/>
      <c r="E771" s="20"/>
      <c r="F771" s="20"/>
    </row>
    <row r="772">
      <c r="A772" s="34"/>
      <c r="C772" s="20"/>
      <c r="D772" s="20"/>
      <c r="E772" s="20"/>
      <c r="F772" s="20"/>
    </row>
    <row r="773">
      <c r="A773" s="34"/>
      <c r="C773" s="20"/>
      <c r="D773" s="20"/>
      <c r="E773" s="20"/>
      <c r="F773" s="20"/>
    </row>
    <row r="774">
      <c r="A774" s="34"/>
      <c r="C774" s="20"/>
      <c r="D774" s="20"/>
      <c r="E774" s="20"/>
      <c r="F774" s="20"/>
    </row>
    <row r="775">
      <c r="A775" s="34"/>
      <c r="C775" s="20"/>
      <c r="D775" s="20"/>
      <c r="E775" s="20"/>
      <c r="F775" s="20"/>
    </row>
    <row r="776">
      <c r="A776" s="34"/>
      <c r="C776" s="20"/>
      <c r="D776" s="20"/>
      <c r="E776" s="20"/>
      <c r="F776" s="20"/>
    </row>
    <row r="777">
      <c r="A777" s="34"/>
      <c r="C777" s="20"/>
      <c r="D777" s="20"/>
      <c r="E777" s="20"/>
      <c r="F777" s="20"/>
    </row>
    <row r="778">
      <c r="A778" s="34"/>
      <c r="C778" s="20"/>
      <c r="D778" s="20"/>
      <c r="E778" s="20"/>
      <c r="F778" s="20"/>
    </row>
    <row r="779">
      <c r="A779" s="34"/>
      <c r="C779" s="20"/>
      <c r="D779" s="20"/>
      <c r="E779" s="20"/>
      <c r="F779" s="20"/>
    </row>
    <row r="780">
      <c r="A780" s="34"/>
      <c r="C780" s="20"/>
      <c r="D780" s="20"/>
      <c r="E780" s="20"/>
      <c r="F780" s="20"/>
    </row>
    <row r="781">
      <c r="A781" s="34"/>
      <c r="C781" s="20"/>
      <c r="D781" s="20"/>
      <c r="E781" s="20"/>
      <c r="F781" s="20"/>
    </row>
    <row r="782">
      <c r="A782" s="34"/>
      <c r="C782" s="20"/>
      <c r="D782" s="20"/>
      <c r="E782" s="20"/>
      <c r="F782" s="20"/>
    </row>
    <row r="783">
      <c r="A783" s="34"/>
      <c r="C783" s="20"/>
      <c r="D783" s="20"/>
      <c r="E783" s="20"/>
      <c r="F783" s="20"/>
    </row>
    <row r="784">
      <c r="A784" s="34"/>
      <c r="C784" s="20"/>
      <c r="D784" s="20"/>
      <c r="E784" s="20"/>
      <c r="F784" s="20"/>
    </row>
    <row r="785">
      <c r="A785" s="34"/>
      <c r="C785" s="20"/>
      <c r="D785" s="20"/>
      <c r="E785" s="20"/>
      <c r="F785" s="20"/>
    </row>
    <row r="786">
      <c r="A786" s="34"/>
      <c r="C786" s="20"/>
      <c r="D786" s="20"/>
      <c r="E786" s="20"/>
      <c r="F786" s="20"/>
    </row>
    <row r="787">
      <c r="A787" s="34"/>
      <c r="C787" s="20"/>
      <c r="D787" s="20"/>
      <c r="E787" s="20"/>
      <c r="F787" s="20"/>
    </row>
    <row r="788">
      <c r="A788" s="34"/>
      <c r="C788" s="20"/>
      <c r="D788" s="20"/>
      <c r="E788" s="20"/>
      <c r="F788" s="20"/>
    </row>
    <row r="789">
      <c r="A789" s="34"/>
      <c r="C789" s="20"/>
      <c r="D789" s="20"/>
      <c r="E789" s="20"/>
      <c r="F789" s="20"/>
    </row>
    <row r="790">
      <c r="A790" s="34"/>
      <c r="C790" s="20"/>
      <c r="D790" s="20"/>
      <c r="E790" s="20"/>
      <c r="F790" s="20"/>
    </row>
    <row r="791">
      <c r="A791" s="34"/>
      <c r="C791" s="20"/>
      <c r="D791" s="20"/>
      <c r="E791" s="20"/>
      <c r="F791" s="20"/>
    </row>
    <row r="792">
      <c r="A792" s="34"/>
      <c r="C792" s="20"/>
      <c r="D792" s="20"/>
      <c r="E792" s="20"/>
      <c r="F792" s="20"/>
    </row>
    <row r="793">
      <c r="A793" s="34"/>
      <c r="C793" s="20"/>
      <c r="D793" s="20"/>
      <c r="E793" s="20"/>
      <c r="F793" s="20"/>
    </row>
    <row r="794">
      <c r="A794" s="34"/>
      <c r="C794" s="20"/>
      <c r="D794" s="20"/>
      <c r="E794" s="20"/>
      <c r="F794" s="20"/>
    </row>
    <row r="795">
      <c r="A795" s="34"/>
      <c r="C795" s="20"/>
      <c r="D795" s="20"/>
      <c r="E795" s="20"/>
      <c r="F795" s="20"/>
    </row>
    <row r="796">
      <c r="A796" s="34"/>
      <c r="C796" s="20"/>
      <c r="D796" s="20"/>
      <c r="E796" s="20"/>
      <c r="F796" s="20"/>
    </row>
    <row r="797">
      <c r="A797" s="34"/>
      <c r="C797" s="20"/>
      <c r="D797" s="20"/>
      <c r="E797" s="20"/>
      <c r="F797" s="20"/>
    </row>
    <row r="798">
      <c r="A798" s="34"/>
      <c r="C798" s="20"/>
      <c r="D798" s="20"/>
      <c r="E798" s="20"/>
      <c r="F798" s="20"/>
    </row>
    <row r="799">
      <c r="A799" s="34"/>
      <c r="C799" s="20"/>
      <c r="D799" s="20"/>
      <c r="E799" s="20"/>
      <c r="F799" s="20"/>
    </row>
    <row r="800">
      <c r="A800" s="34"/>
      <c r="C800" s="20"/>
      <c r="D800" s="20"/>
      <c r="E800" s="20"/>
      <c r="F800" s="20"/>
    </row>
    <row r="801">
      <c r="A801" s="34"/>
      <c r="C801" s="20"/>
      <c r="D801" s="20"/>
      <c r="E801" s="20"/>
      <c r="F801" s="20"/>
    </row>
    <row r="802">
      <c r="A802" s="34"/>
      <c r="C802" s="20"/>
      <c r="D802" s="20"/>
      <c r="E802" s="20"/>
      <c r="F802" s="20"/>
    </row>
    <row r="803">
      <c r="A803" s="34"/>
      <c r="C803" s="20"/>
      <c r="D803" s="20"/>
      <c r="E803" s="20"/>
      <c r="F803" s="20"/>
    </row>
    <row r="804">
      <c r="A804" s="34"/>
      <c r="C804" s="20"/>
      <c r="D804" s="20"/>
      <c r="E804" s="20"/>
      <c r="F804" s="20"/>
    </row>
    <row r="805">
      <c r="A805" s="34"/>
      <c r="C805" s="20"/>
      <c r="D805" s="20"/>
      <c r="E805" s="20"/>
      <c r="F805" s="20"/>
    </row>
    <row r="806">
      <c r="A806" s="34"/>
      <c r="C806" s="20"/>
      <c r="D806" s="20"/>
      <c r="E806" s="20"/>
      <c r="F806" s="20"/>
    </row>
    <row r="807">
      <c r="A807" s="34"/>
      <c r="C807" s="20"/>
      <c r="D807" s="20"/>
      <c r="E807" s="20"/>
      <c r="F807" s="20"/>
    </row>
    <row r="808">
      <c r="A808" s="34"/>
      <c r="C808" s="20"/>
      <c r="D808" s="20"/>
      <c r="E808" s="20"/>
      <c r="F808" s="20"/>
    </row>
    <row r="809">
      <c r="A809" s="34"/>
      <c r="C809" s="20"/>
      <c r="D809" s="20"/>
      <c r="E809" s="20"/>
      <c r="F809" s="20"/>
    </row>
    <row r="810">
      <c r="A810" s="34"/>
      <c r="C810" s="20"/>
      <c r="D810" s="20"/>
      <c r="E810" s="20"/>
      <c r="F810" s="20"/>
    </row>
    <row r="811">
      <c r="A811" s="34"/>
      <c r="C811" s="20"/>
      <c r="D811" s="20"/>
      <c r="E811" s="20"/>
      <c r="F811" s="20"/>
    </row>
    <row r="812">
      <c r="A812" s="34"/>
      <c r="C812" s="20"/>
      <c r="D812" s="20"/>
      <c r="E812" s="20"/>
      <c r="F812" s="20"/>
    </row>
    <row r="813">
      <c r="A813" s="34"/>
      <c r="C813" s="20"/>
      <c r="D813" s="20"/>
      <c r="E813" s="20"/>
      <c r="F813" s="20"/>
    </row>
    <row r="814">
      <c r="A814" s="34"/>
      <c r="C814" s="20"/>
      <c r="D814" s="20"/>
      <c r="E814" s="20"/>
      <c r="F814" s="20"/>
    </row>
    <row r="815">
      <c r="A815" s="34"/>
      <c r="C815" s="20"/>
      <c r="D815" s="20"/>
      <c r="E815" s="20"/>
      <c r="F815" s="20"/>
    </row>
    <row r="816">
      <c r="A816" s="34"/>
      <c r="C816" s="20"/>
      <c r="D816" s="20"/>
      <c r="E816" s="20"/>
      <c r="F816" s="20"/>
    </row>
    <row r="817">
      <c r="A817" s="34"/>
      <c r="C817" s="20"/>
      <c r="D817" s="20"/>
      <c r="E817" s="20"/>
      <c r="F817" s="20"/>
    </row>
    <row r="818">
      <c r="A818" s="34"/>
      <c r="C818" s="20"/>
      <c r="D818" s="20"/>
      <c r="E818" s="20"/>
      <c r="F818" s="20"/>
    </row>
    <row r="819">
      <c r="A819" s="34"/>
      <c r="C819" s="20"/>
      <c r="D819" s="20"/>
      <c r="E819" s="20"/>
      <c r="F819" s="20"/>
    </row>
    <row r="820">
      <c r="A820" s="34"/>
      <c r="C820" s="20"/>
      <c r="D820" s="20"/>
      <c r="E820" s="20"/>
      <c r="F820" s="20"/>
    </row>
    <row r="821">
      <c r="A821" s="34"/>
      <c r="C821" s="20"/>
      <c r="D821" s="20"/>
      <c r="E821" s="20"/>
      <c r="F821" s="20"/>
    </row>
    <row r="822">
      <c r="A822" s="34"/>
      <c r="C822" s="20"/>
      <c r="D822" s="20"/>
      <c r="E822" s="20"/>
      <c r="F822" s="20"/>
    </row>
    <row r="823">
      <c r="A823" s="34"/>
      <c r="C823" s="20"/>
      <c r="D823" s="20"/>
      <c r="E823" s="20"/>
      <c r="F823" s="20"/>
    </row>
    <row r="824">
      <c r="A824" s="34"/>
      <c r="C824" s="20"/>
      <c r="D824" s="20"/>
      <c r="E824" s="20"/>
      <c r="F824" s="20"/>
    </row>
    <row r="825">
      <c r="A825" s="34"/>
      <c r="C825" s="20"/>
      <c r="D825" s="20"/>
      <c r="E825" s="20"/>
      <c r="F825" s="20"/>
    </row>
    <row r="826">
      <c r="A826" s="34"/>
      <c r="C826" s="20"/>
      <c r="D826" s="20"/>
      <c r="E826" s="20"/>
      <c r="F826" s="20"/>
    </row>
    <row r="827">
      <c r="A827" s="34"/>
      <c r="C827" s="20"/>
      <c r="D827" s="20"/>
      <c r="E827" s="20"/>
      <c r="F827" s="20"/>
    </row>
    <row r="828">
      <c r="A828" s="34"/>
      <c r="C828" s="20"/>
      <c r="D828" s="20"/>
      <c r="E828" s="20"/>
      <c r="F828" s="20"/>
    </row>
    <row r="829">
      <c r="A829" s="34"/>
      <c r="C829" s="20"/>
      <c r="D829" s="20"/>
      <c r="E829" s="20"/>
      <c r="F829" s="20"/>
    </row>
    <row r="830">
      <c r="A830" s="34"/>
      <c r="C830" s="20"/>
      <c r="D830" s="20"/>
      <c r="E830" s="20"/>
      <c r="F830" s="20"/>
    </row>
    <row r="831">
      <c r="A831" s="34"/>
      <c r="C831" s="20"/>
      <c r="D831" s="20"/>
      <c r="E831" s="20"/>
      <c r="F831" s="20"/>
    </row>
    <row r="832">
      <c r="A832" s="34"/>
      <c r="C832" s="20"/>
      <c r="D832" s="20"/>
      <c r="E832" s="20"/>
      <c r="F832" s="20"/>
    </row>
    <row r="833">
      <c r="A833" s="34"/>
      <c r="C833" s="20"/>
      <c r="D833" s="20"/>
      <c r="E833" s="20"/>
      <c r="F833" s="20"/>
    </row>
    <row r="834">
      <c r="A834" s="34"/>
      <c r="C834" s="20"/>
      <c r="D834" s="20"/>
      <c r="E834" s="20"/>
      <c r="F834" s="20"/>
    </row>
    <row r="835">
      <c r="A835" s="34"/>
      <c r="C835" s="20"/>
      <c r="D835" s="20"/>
      <c r="E835" s="20"/>
      <c r="F835" s="20"/>
    </row>
    <row r="836">
      <c r="A836" s="34"/>
      <c r="C836" s="20"/>
      <c r="D836" s="20"/>
      <c r="E836" s="20"/>
      <c r="F836" s="20"/>
    </row>
    <row r="837">
      <c r="A837" s="34"/>
      <c r="C837" s="20"/>
      <c r="D837" s="20"/>
      <c r="E837" s="20"/>
      <c r="F837" s="20"/>
    </row>
    <row r="838">
      <c r="A838" s="34"/>
      <c r="C838" s="20"/>
      <c r="D838" s="20"/>
      <c r="E838" s="20"/>
      <c r="F838" s="20"/>
    </row>
    <row r="839">
      <c r="A839" s="34"/>
      <c r="C839" s="20"/>
      <c r="D839" s="20"/>
      <c r="E839" s="20"/>
      <c r="F839" s="20"/>
    </row>
    <row r="840">
      <c r="A840" s="34"/>
      <c r="C840" s="20"/>
      <c r="D840" s="20"/>
      <c r="E840" s="20"/>
      <c r="F840" s="20"/>
    </row>
    <row r="841">
      <c r="A841" s="34"/>
      <c r="C841" s="20"/>
      <c r="D841" s="20"/>
      <c r="E841" s="20"/>
      <c r="F841" s="20"/>
    </row>
    <row r="842">
      <c r="A842" s="34"/>
      <c r="C842" s="20"/>
      <c r="D842" s="20"/>
      <c r="E842" s="20"/>
      <c r="F842" s="20"/>
    </row>
    <row r="843">
      <c r="A843" s="34"/>
      <c r="C843" s="20"/>
      <c r="D843" s="20"/>
      <c r="E843" s="20"/>
      <c r="F843" s="20"/>
    </row>
    <row r="844">
      <c r="A844" s="34"/>
      <c r="C844" s="20"/>
      <c r="D844" s="20"/>
      <c r="E844" s="20"/>
      <c r="F844" s="20"/>
    </row>
    <row r="845">
      <c r="A845" s="34"/>
      <c r="C845" s="20"/>
      <c r="D845" s="20"/>
      <c r="E845" s="20"/>
      <c r="F845" s="20"/>
    </row>
    <row r="846">
      <c r="A846" s="34"/>
      <c r="C846" s="20"/>
      <c r="D846" s="20"/>
      <c r="E846" s="20"/>
      <c r="F846" s="20"/>
    </row>
    <row r="847">
      <c r="A847" s="34"/>
      <c r="C847" s="20"/>
      <c r="D847" s="20"/>
      <c r="E847" s="20"/>
      <c r="F847" s="20"/>
    </row>
    <row r="848">
      <c r="A848" s="34"/>
      <c r="C848" s="20"/>
      <c r="D848" s="20"/>
      <c r="E848" s="20"/>
      <c r="F848" s="20"/>
    </row>
    <row r="849">
      <c r="A849" s="34"/>
      <c r="C849" s="20"/>
      <c r="D849" s="20"/>
      <c r="E849" s="20"/>
      <c r="F849" s="20"/>
    </row>
    <row r="850">
      <c r="A850" s="34"/>
      <c r="C850" s="20"/>
      <c r="D850" s="20"/>
      <c r="E850" s="20"/>
      <c r="F850" s="20"/>
    </row>
    <row r="851">
      <c r="A851" s="34"/>
      <c r="C851" s="20"/>
      <c r="D851" s="20"/>
      <c r="E851" s="20"/>
      <c r="F851" s="20"/>
    </row>
    <row r="852">
      <c r="A852" s="34"/>
      <c r="C852" s="20"/>
      <c r="D852" s="20"/>
      <c r="E852" s="20"/>
      <c r="F852" s="20"/>
    </row>
    <row r="853">
      <c r="A853" s="34"/>
      <c r="C853" s="20"/>
      <c r="D853" s="20"/>
      <c r="E853" s="20"/>
      <c r="F853" s="20"/>
    </row>
    <row r="854">
      <c r="A854" s="34"/>
      <c r="C854" s="20"/>
      <c r="D854" s="20"/>
      <c r="E854" s="20"/>
      <c r="F854" s="20"/>
    </row>
    <row r="855">
      <c r="A855" s="34"/>
      <c r="C855" s="20"/>
      <c r="D855" s="20"/>
      <c r="E855" s="20"/>
      <c r="F855" s="20"/>
    </row>
    <row r="856">
      <c r="A856" s="34"/>
      <c r="C856" s="20"/>
      <c r="D856" s="20"/>
      <c r="E856" s="20"/>
      <c r="F856" s="20"/>
    </row>
    <row r="857">
      <c r="A857" s="34"/>
      <c r="C857" s="20"/>
      <c r="D857" s="20"/>
      <c r="E857" s="20"/>
      <c r="F857" s="20"/>
    </row>
    <row r="858">
      <c r="A858" s="34"/>
      <c r="C858" s="20"/>
      <c r="D858" s="20"/>
      <c r="E858" s="20"/>
      <c r="F858" s="20"/>
    </row>
    <row r="859">
      <c r="A859" s="34"/>
      <c r="C859" s="20"/>
      <c r="D859" s="20"/>
      <c r="E859" s="20"/>
      <c r="F859" s="20"/>
    </row>
    <row r="860">
      <c r="A860" s="34"/>
      <c r="C860" s="20"/>
      <c r="D860" s="20"/>
      <c r="E860" s="20"/>
      <c r="F860" s="20"/>
    </row>
    <row r="861">
      <c r="A861" s="34"/>
      <c r="C861" s="20"/>
      <c r="D861" s="20"/>
      <c r="E861" s="20"/>
      <c r="F861" s="20"/>
    </row>
    <row r="862">
      <c r="A862" s="34"/>
      <c r="C862" s="20"/>
      <c r="D862" s="20"/>
      <c r="E862" s="20"/>
      <c r="F862" s="20"/>
    </row>
    <row r="863">
      <c r="A863" s="34"/>
      <c r="C863" s="20"/>
      <c r="D863" s="20"/>
      <c r="E863" s="20"/>
      <c r="F863" s="20"/>
    </row>
    <row r="864">
      <c r="A864" s="34"/>
      <c r="C864" s="20"/>
      <c r="D864" s="20"/>
      <c r="E864" s="20"/>
      <c r="F864" s="20"/>
    </row>
    <row r="865">
      <c r="A865" s="34"/>
      <c r="C865" s="20"/>
      <c r="D865" s="20"/>
      <c r="E865" s="20"/>
      <c r="F865" s="20"/>
    </row>
    <row r="866">
      <c r="A866" s="34"/>
      <c r="C866" s="20"/>
      <c r="D866" s="20"/>
      <c r="E866" s="20"/>
      <c r="F866" s="20"/>
    </row>
    <row r="867">
      <c r="A867" s="34"/>
      <c r="C867" s="20"/>
      <c r="D867" s="20"/>
      <c r="E867" s="20"/>
      <c r="F867" s="20"/>
    </row>
    <row r="868">
      <c r="A868" s="34"/>
      <c r="C868" s="20"/>
      <c r="D868" s="20"/>
      <c r="E868" s="20"/>
      <c r="F868" s="20"/>
    </row>
    <row r="869">
      <c r="A869" s="34"/>
      <c r="C869" s="20"/>
      <c r="D869" s="20"/>
      <c r="E869" s="20"/>
      <c r="F869" s="20"/>
    </row>
    <row r="870">
      <c r="A870" s="34"/>
      <c r="C870" s="20"/>
      <c r="D870" s="20"/>
      <c r="E870" s="20"/>
      <c r="F870" s="20"/>
    </row>
    <row r="871">
      <c r="A871" s="34"/>
      <c r="C871" s="20"/>
      <c r="D871" s="20"/>
      <c r="E871" s="20"/>
      <c r="F871" s="20"/>
    </row>
    <row r="872">
      <c r="A872" s="34"/>
      <c r="C872" s="20"/>
      <c r="D872" s="20"/>
      <c r="E872" s="20"/>
      <c r="F872" s="20"/>
    </row>
    <row r="873">
      <c r="A873" s="34"/>
      <c r="C873" s="20"/>
      <c r="D873" s="20"/>
      <c r="E873" s="20"/>
      <c r="F873" s="20"/>
    </row>
    <row r="874">
      <c r="A874" s="34"/>
      <c r="C874" s="20"/>
      <c r="D874" s="20"/>
      <c r="E874" s="20"/>
      <c r="F874" s="20"/>
    </row>
    <row r="875">
      <c r="A875" s="34"/>
      <c r="C875" s="20"/>
      <c r="D875" s="20"/>
      <c r="E875" s="20"/>
      <c r="F875" s="20"/>
    </row>
    <row r="876">
      <c r="A876" s="34"/>
      <c r="C876" s="20"/>
      <c r="D876" s="20"/>
      <c r="E876" s="20"/>
      <c r="F876" s="20"/>
    </row>
    <row r="877">
      <c r="A877" s="34"/>
      <c r="C877" s="20"/>
      <c r="D877" s="20"/>
      <c r="E877" s="20"/>
      <c r="F877" s="20"/>
    </row>
    <row r="878">
      <c r="A878" s="34"/>
      <c r="C878" s="20"/>
      <c r="D878" s="20"/>
      <c r="E878" s="20"/>
      <c r="F878" s="20"/>
    </row>
    <row r="879">
      <c r="A879" s="34"/>
      <c r="C879" s="20"/>
      <c r="D879" s="20"/>
      <c r="E879" s="20"/>
      <c r="F879" s="20"/>
    </row>
    <row r="880">
      <c r="A880" s="34"/>
      <c r="C880" s="20"/>
      <c r="D880" s="20"/>
      <c r="E880" s="20"/>
      <c r="F880" s="20"/>
    </row>
    <row r="881">
      <c r="A881" s="34"/>
      <c r="C881" s="20"/>
      <c r="D881" s="20"/>
      <c r="E881" s="20"/>
      <c r="F881" s="20"/>
    </row>
    <row r="882">
      <c r="A882" s="34"/>
      <c r="C882" s="20"/>
      <c r="D882" s="20"/>
      <c r="E882" s="20"/>
      <c r="F882" s="20"/>
    </row>
    <row r="883">
      <c r="A883" s="34"/>
      <c r="C883" s="20"/>
      <c r="D883" s="20"/>
      <c r="E883" s="20"/>
      <c r="F883" s="20"/>
    </row>
    <row r="884">
      <c r="A884" s="34"/>
      <c r="C884" s="20"/>
      <c r="D884" s="20"/>
      <c r="E884" s="20"/>
      <c r="F884" s="20"/>
    </row>
    <row r="885">
      <c r="A885" s="34"/>
      <c r="C885" s="20"/>
      <c r="D885" s="20"/>
      <c r="E885" s="20"/>
      <c r="F885" s="20"/>
    </row>
    <row r="886">
      <c r="A886" s="34"/>
      <c r="C886" s="20"/>
      <c r="D886" s="20"/>
      <c r="E886" s="20"/>
      <c r="F886" s="20"/>
    </row>
    <row r="887">
      <c r="A887" s="34"/>
      <c r="C887" s="20"/>
      <c r="D887" s="20"/>
      <c r="E887" s="20"/>
      <c r="F887" s="20"/>
    </row>
    <row r="888">
      <c r="A888" s="34"/>
      <c r="C888" s="20"/>
      <c r="D888" s="20"/>
      <c r="E888" s="20"/>
      <c r="F888" s="20"/>
    </row>
    <row r="889">
      <c r="A889" s="34"/>
      <c r="C889" s="20"/>
      <c r="D889" s="20"/>
      <c r="E889" s="20"/>
      <c r="F889" s="20"/>
    </row>
    <row r="890">
      <c r="A890" s="34"/>
      <c r="C890" s="20"/>
      <c r="D890" s="20"/>
      <c r="E890" s="20"/>
      <c r="F890" s="20"/>
    </row>
    <row r="891">
      <c r="A891" s="34"/>
      <c r="C891" s="20"/>
      <c r="D891" s="20"/>
      <c r="E891" s="20"/>
      <c r="F891" s="20"/>
    </row>
    <row r="892">
      <c r="A892" s="34"/>
      <c r="C892" s="20"/>
      <c r="D892" s="20"/>
      <c r="E892" s="20"/>
      <c r="F892" s="20"/>
    </row>
    <row r="893">
      <c r="A893" s="34"/>
      <c r="C893" s="20"/>
      <c r="D893" s="20"/>
      <c r="E893" s="20"/>
      <c r="F893" s="20"/>
    </row>
    <row r="894">
      <c r="A894" s="34"/>
      <c r="C894" s="20"/>
      <c r="D894" s="20"/>
      <c r="E894" s="20"/>
      <c r="F894" s="20"/>
    </row>
    <row r="895">
      <c r="A895" s="34"/>
      <c r="C895" s="20"/>
      <c r="D895" s="20"/>
      <c r="E895" s="20"/>
      <c r="F895" s="20"/>
    </row>
    <row r="896">
      <c r="A896" s="34"/>
      <c r="C896" s="20"/>
      <c r="D896" s="20"/>
      <c r="E896" s="20"/>
      <c r="F896" s="20"/>
    </row>
    <row r="897">
      <c r="A897" s="34"/>
      <c r="C897" s="20"/>
      <c r="D897" s="20"/>
      <c r="E897" s="20"/>
      <c r="F897" s="20"/>
    </row>
    <row r="898">
      <c r="A898" s="34"/>
      <c r="C898" s="20"/>
      <c r="D898" s="20"/>
      <c r="E898" s="20"/>
      <c r="F898" s="20"/>
    </row>
    <row r="899">
      <c r="A899" s="34"/>
      <c r="C899" s="20"/>
      <c r="D899" s="20"/>
      <c r="E899" s="20"/>
      <c r="F899" s="20"/>
    </row>
    <row r="900">
      <c r="A900" s="34"/>
      <c r="C900" s="20"/>
      <c r="D900" s="20"/>
      <c r="E900" s="20"/>
      <c r="F900" s="20"/>
    </row>
    <row r="901">
      <c r="A901" s="34"/>
      <c r="C901" s="20"/>
      <c r="D901" s="20"/>
      <c r="E901" s="20"/>
      <c r="F901" s="20"/>
    </row>
    <row r="902">
      <c r="A902" s="34"/>
      <c r="C902" s="20"/>
      <c r="D902" s="20"/>
      <c r="E902" s="20"/>
      <c r="F902" s="20"/>
    </row>
    <row r="903">
      <c r="A903" s="34"/>
      <c r="C903" s="20"/>
      <c r="D903" s="20"/>
      <c r="E903" s="20"/>
      <c r="F903" s="20"/>
    </row>
    <row r="904">
      <c r="A904" s="34"/>
      <c r="C904" s="20"/>
      <c r="D904" s="20"/>
      <c r="E904" s="20"/>
      <c r="F904" s="20"/>
    </row>
    <row r="905">
      <c r="A905" s="34"/>
      <c r="C905" s="20"/>
      <c r="D905" s="20"/>
      <c r="E905" s="20"/>
      <c r="F905" s="20"/>
    </row>
    <row r="906">
      <c r="A906" s="34"/>
      <c r="C906" s="20"/>
      <c r="D906" s="20"/>
      <c r="E906" s="20"/>
      <c r="F906" s="20"/>
    </row>
    <row r="907">
      <c r="A907" s="34"/>
      <c r="C907" s="20"/>
      <c r="D907" s="20"/>
      <c r="E907" s="20"/>
      <c r="F907" s="20"/>
    </row>
    <row r="908">
      <c r="A908" s="34"/>
      <c r="C908" s="20"/>
      <c r="D908" s="20"/>
      <c r="E908" s="20"/>
      <c r="F908" s="20"/>
    </row>
    <row r="909">
      <c r="A909" s="34"/>
      <c r="C909" s="20"/>
      <c r="D909" s="20"/>
      <c r="E909" s="20"/>
      <c r="F909" s="20"/>
    </row>
    <row r="910">
      <c r="A910" s="34"/>
      <c r="C910" s="20"/>
      <c r="D910" s="20"/>
      <c r="E910" s="20"/>
      <c r="F910" s="20"/>
    </row>
    <row r="911">
      <c r="A911" s="34"/>
      <c r="C911" s="20"/>
      <c r="D911" s="20"/>
      <c r="E911" s="20"/>
      <c r="F911" s="20"/>
    </row>
    <row r="912">
      <c r="A912" s="34"/>
      <c r="C912" s="20"/>
      <c r="D912" s="20"/>
      <c r="E912" s="20"/>
      <c r="F912" s="20"/>
    </row>
    <row r="913">
      <c r="A913" s="34"/>
      <c r="C913" s="20"/>
      <c r="D913" s="20"/>
      <c r="E913" s="20"/>
      <c r="F913" s="20"/>
    </row>
    <row r="914">
      <c r="A914" s="34"/>
      <c r="C914" s="20"/>
      <c r="D914" s="20"/>
      <c r="E914" s="20"/>
      <c r="F914" s="20"/>
    </row>
    <row r="915">
      <c r="A915" s="34"/>
      <c r="C915" s="20"/>
      <c r="D915" s="20"/>
      <c r="E915" s="20"/>
      <c r="F915" s="20"/>
    </row>
    <row r="916">
      <c r="A916" s="34"/>
      <c r="C916" s="20"/>
      <c r="D916" s="20"/>
      <c r="E916" s="20"/>
      <c r="F916" s="20"/>
    </row>
    <row r="917">
      <c r="A917" s="34"/>
      <c r="C917" s="20"/>
      <c r="D917" s="20"/>
      <c r="E917" s="20"/>
      <c r="F917" s="20"/>
    </row>
    <row r="918">
      <c r="A918" s="34"/>
      <c r="C918" s="20"/>
      <c r="D918" s="20"/>
      <c r="E918" s="20"/>
      <c r="F918" s="20"/>
    </row>
    <row r="919">
      <c r="A919" s="34"/>
      <c r="C919" s="20"/>
      <c r="D919" s="20"/>
      <c r="E919" s="20"/>
      <c r="F919" s="20"/>
    </row>
    <row r="920">
      <c r="A920" s="34"/>
      <c r="C920" s="20"/>
      <c r="D920" s="20"/>
      <c r="E920" s="20"/>
      <c r="F920" s="20"/>
    </row>
    <row r="921">
      <c r="A921" s="34"/>
      <c r="C921" s="20"/>
      <c r="D921" s="20"/>
      <c r="E921" s="20"/>
      <c r="F921" s="20"/>
    </row>
    <row r="922">
      <c r="A922" s="34"/>
      <c r="C922" s="20"/>
      <c r="D922" s="20"/>
      <c r="E922" s="20"/>
      <c r="F922" s="20"/>
    </row>
    <row r="923">
      <c r="A923" s="34"/>
      <c r="C923" s="20"/>
      <c r="D923" s="20"/>
      <c r="E923" s="20"/>
      <c r="F923" s="20"/>
    </row>
    <row r="924">
      <c r="A924" s="34"/>
      <c r="C924" s="20"/>
      <c r="D924" s="20"/>
      <c r="E924" s="20"/>
      <c r="F924" s="20"/>
    </row>
    <row r="925">
      <c r="A925" s="34"/>
      <c r="C925" s="20"/>
      <c r="D925" s="20"/>
      <c r="E925" s="20"/>
      <c r="F925" s="20"/>
    </row>
    <row r="926">
      <c r="A926" s="34"/>
      <c r="C926" s="20"/>
      <c r="D926" s="20"/>
      <c r="E926" s="20"/>
      <c r="F926" s="20"/>
    </row>
    <row r="927">
      <c r="A927" s="34"/>
      <c r="C927" s="20"/>
      <c r="D927" s="20"/>
      <c r="E927" s="20"/>
      <c r="F927" s="20"/>
    </row>
    <row r="928">
      <c r="A928" s="34"/>
      <c r="C928" s="20"/>
      <c r="D928" s="20"/>
      <c r="E928" s="20"/>
      <c r="F928" s="20"/>
    </row>
    <row r="929">
      <c r="A929" s="34"/>
      <c r="C929" s="20"/>
      <c r="D929" s="20"/>
      <c r="E929" s="20"/>
      <c r="F929" s="20"/>
    </row>
    <row r="930">
      <c r="A930" s="34"/>
      <c r="C930" s="20"/>
      <c r="D930" s="20"/>
      <c r="E930" s="20"/>
      <c r="F930" s="20"/>
    </row>
    <row r="931">
      <c r="A931" s="34"/>
      <c r="C931" s="20"/>
      <c r="D931" s="20"/>
      <c r="E931" s="20"/>
      <c r="F931" s="20"/>
    </row>
    <row r="932">
      <c r="A932" s="34"/>
      <c r="C932" s="20"/>
      <c r="D932" s="20"/>
      <c r="E932" s="20"/>
      <c r="F932" s="20"/>
    </row>
    <row r="933">
      <c r="A933" s="34"/>
      <c r="C933" s="20"/>
      <c r="D933" s="20"/>
      <c r="E933" s="20"/>
      <c r="F933" s="20"/>
    </row>
    <row r="934">
      <c r="A934" s="34"/>
      <c r="C934" s="20"/>
      <c r="D934" s="20"/>
      <c r="E934" s="20"/>
      <c r="F934" s="20"/>
    </row>
    <row r="935">
      <c r="A935" s="34"/>
      <c r="C935" s="20"/>
      <c r="D935" s="20"/>
      <c r="E935" s="20"/>
      <c r="F935" s="20"/>
    </row>
    <row r="936">
      <c r="A936" s="34"/>
      <c r="C936" s="20"/>
      <c r="D936" s="20"/>
      <c r="E936" s="20"/>
      <c r="F936" s="20"/>
    </row>
    <row r="937">
      <c r="A937" s="34"/>
      <c r="C937" s="20"/>
      <c r="D937" s="20"/>
      <c r="E937" s="20"/>
      <c r="F937" s="20"/>
    </row>
    <row r="938">
      <c r="A938" s="34"/>
      <c r="C938" s="20"/>
      <c r="D938" s="20"/>
      <c r="E938" s="20"/>
      <c r="F938" s="20"/>
    </row>
    <row r="939">
      <c r="A939" s="34"/>
      <c r="C939" s="20"/>
      <c r="D939" s="20"/>
      <c r="E939" s="20"/>
      <c r="F939" s="20"/>
    </row>
    <row r="940">
      <c r="A940" s="34"/>
      <c r="C940" s="20"/>
      <c r="D940" s="20"/>
      <c r="E940" s="20"/>
      <c r="F940" s="20"/>
    </row>
    <row r="941">
      <c r="A941" s="34"/>
      <c r="C941" s="20"/>
      <c r="D941" s="20"/>
      <c r="E941" s="20"/>
      <c r="F941" s="20"/>
    </row>
    <row r="942">
      <c r="A942" s="34"/>
      <c r="C942" s="20"/>
      <c r="D942" s="20"/>
      <c r="E942" s="20"/>
      <c r="F942" s="20"/>
    </row>
    <row r="943">
      <c r="A943" s="34"/>
      <c r="C943" s="20"/>
      <c r="D943" s="20"/>
      <c r="E943" s="20"/>
      <c r="F943" s="20"/>
    </row>
    <row r="944">
      <c r="A944" s="34"/>
      <c r="C944" s="20"/>
      <c r="D944" s="20"/>
      <c r="E944" s="20"/>
      <c r="F944" s="20"/>
    </row>
    <row r="945">
      <c r="A945" s="34"/>
      <c r="C945" s="20"/>
      <c r="D945" s="20"/>
      <c r="E945" s="20"/>
      <c r="F945" s="20"/>
    </row>
    <row r="946">
      <c r="A946" s="34"/>
      <c r="C946" s="20"/>
      <c r="D946" s="20"/>
      <c r="E946" s="20"/>
      <c r="F946" s="20"/>
    </row>
    <row r="947">
      <c r="A947" s="34"/>
      <c r="C947" s="20"/>
      <c r="D947" s="20"/>
      <c r="E947" s="20"/>
      <c r="F947" s="20"/>
    </row>
    <row r="948">
      <c r="A948" s="34"/>
      <c r="C948" s="20"/>
      <c r="D948" s="20"/>
      <c r="E948" s="20"/>
      <c r="F948" s="20"/>
    </row>
    <row r="949">
      <c r="A949" s="34"/>
      <c r="C949" s="20"/>
      <c r="D949" s="20"/>
      <c r="E949" s="20"/>
      <c r="F949" s="20"/>
    </row>
    <row r="950">
      <c r="A950" s="34"/>
      <c r="C950" s="20"/>
      <c r="D950" s="20"/>
      <c r="E950" s="20"/>
      <c r="F950" s="20"/>
    </row>
    <row r="951">
      <c r="A951" s="34"/>
      <c r="C951" s="20"/>
      <c r="D951" s="20"/>
      <c r="E951" s="20"/>
      <c r="F951" s="20"/>
    </row>
    <row r="952">
      <c r="A952" s="34"/>
      <c r="C952" s="20"/>
      <c r="D952" s="20"/>
      <c r="E952" s="20"/>
      <c r="F952" s="20"/>
    </row>
    <row r="953">
      <c r="A953" s="34"/>
      <c r="C953" s="20"/>
      <c r="D953" s="20"/>
      <c r="E953" s="20"/>
      <c r="F953" s="20"/>
    </row>
    <row r="954">
      <c r="A954" s="34"/>
      <c r="C954" s="20"/>
      <c r="D954" s="20"/>
      <c r="E954" s="20"/>
      <c r="F954" s="20"/>
    </row>
    <row r="955">
      <c r="A955" s="34"/>
      <c r="C955" s="20"/>
      <c r="D955" s="20"/>
      <c r="E955" s="20"/>
      <c r="F955" s="20"/>
    </row>
    <row r="956">
      <c r="A956" s="34"/>
      <c r="C956" s="20"/>
      <c r="D956" s="20"/>
      <c r="E956" s="20"/>
      <c r="F956" s="20"/>
    </row>
    <row r="957">
      <c r="A957" s="34"/>
      <c r="C957" s="20"/>
      <c r="D957" s="20"/>
      <c r="E957" s="20"/>
      <c r="F957" s="20"/>
    </row>
    <row r="958">
      <c r="A958" s="34"/>
      <c r="C958" s="20"/>
      <c r="D958" s="20"/>
      <c r="E958" s="20"/>
      <c r="F958" s="20"/>
    </row>
    <row r="959">
      <c r="A959" s="34"/>
      <c r="C959" s="20"/>
      <c r="D959" s="20"/>
      <c r="E959" s="20"/>
      <c r="F959" s="20"/>
    </row>
    <row r="960">
      <c r="A960" s="34"/>
      <c r="C960" s="20"/>
      <c r="D960" s="20"/>
      <c r="E960" s="20"/>
      <c r="F960" s="20"/>
    </row>
    <row r="961">
      <c r="A961" s="34"/>
      <c r="C961" s="20"/>
      <c r="D961" s="20"/>
      <c r="E961" s="20"/>
      <c r="F961" s="20"/>
    </row>
    <row r="962">
      <c r="A962" s="34"/>
      <c r="C962" s="20"/>
      <c r="D962" s="20"/>
      <c r="E962" s="20"/>
      <c r="F962" s="20"/>
    </row>
    <row r="963">
      <c r="A963" s="34"/>
      <c r="C963" s="20"/>
      <c r="D963" s="20"/>
      <c r="E963" s="20"/>
      <c r="F963" s="20"/>
    </row>
    <row r="964">
      <c r="A964" s="34"/>
      <c r="C964" s="20"/>
      <c r="D964" s="20"/>
      <c r="E964" s="20"/>
      <c r="F964" s="20"/>
    </row>
    <row r="965">
      <c r="A965" s="34"/>
      <c r="C965" s="20"/>
      <c r="D965" s="20"/>
      <c r="E965" s="20"/>
      <c r="F965" s="20"/>
    </row>
    <row r="966">
      <c r="A966" s="34"/>
      <c r="C966" s="20"/>
      <c r="D966" s="20"/>
      <c r="E966" s="20"/>
      <c r="F966" s="20"/>
    </row>
    <row r="967">
      <c r="A967" s="34"/>
      <c r="C967" s="20"/>
      <c r="D967" s="20"/>
      <c r="E967" s="20"/>
      <c r="F967" s="20"/>
    </row>
    <row r="968">
      <c r="A968" s="34"/>
      <c r="C968" s="20"/>
      <c r="D968" s="20"/>
      <c r="E968" s="20"/>
      <c r="F968" s="20"/>
    </row>
    <row r="969">
      <c r="A969" s="34"/>
      <c r="C969" s="20"/>
      <c r="D969" s="20"/>
      <c r="E969" s="20"/>
      <c r="F969" s="20"/>
    </row>
    <row r="970">
      <c r="A970" s="34"/>
      <c r="C970" s="20"/>
      <c r="D970" s="20"/>
      <c r="E970" s="20"/>
      <c r="F970" s="20"/>
    </row>
    <row r="971">
      <c r="A971" s="34"/>
      <c r="C971" s="20"/>
      <c r="D971" s="20"/>
      <c r="E971" s="20"/>
      <c r="F971" s="20"/>
    </row>
    <row r="972">
      <c r="A972" s="34"/>
      <c r="C972" s="20"/>
      <c r="D972" s="20"/>
      <c r="E972" s="20"/>
      <c r="F972" s="20"/>
    </row>
    <row r="973">
      <c r="A973" s="34"/>
      <c r="C973" s="20"/>
      <c r="D973" s="20"/>
      <c r="E973" s="20"/>
      <c r="F973" s="20"/>
    </row>
    <row r="974">
      <c r="A974" s="34"/>
      <c r="C974" s="20"/>
      <c r="D974" s="20"/>
      <c r="E974" s="20"/>
      <c r="F974" s="20"/>
    </row>
    <row r="975">
      <c r="A975" s="34"/>
      <c r="C975" s="20"/>
      <c r="D975" s="20"/>
      <c r="E975" s="20"/>
      <c r="F975" s="20"/>
    </row>
    <row r="976">
      <c r="A976" s="34"/>
      <c r="C976" s="20"/>
      <c r="D976" s="20"/>
      <c r="E976" s="20"/>
      <c r="F976" s="20"/>
    </row>
    <row r="977">
      <c r="A977" s="34"/>
      <c r="C977" s="20"/>
      <c r="D977" s="20"/>
      <c r="E977" s="20"/>
      <c r="F977" s="20"/>
    </row>
    <row r="978">
      <c r="A978" s="34"/>
      <c r="C978" s="20"/>
      <c r="D978" s="20"/>
      <c r="E978" s="20"/>
      <c r="F978" s="20"/>
    </row>
    <row r="979">
      <c r="A979" s="34"/>
      <c r="C979" s="20"/>
      <c r="D979" s="20"/>
      <c r="E979" s="20"/>
      <c r="F979" s="20"/>
    </row>
    <row r="980">
      <c r="A980" s="34"/>
      <c r="C980" s="20"/>
      <c r="D980" s="20"/>
      <c r="E980" s="20"/>
      <c r="F980" s="20"/>
    </row>
    <row r="981">
      <c r="A981" s="34"/>
      <c r="C981" s="20"/>
      <c r="D981" s="20"/>
      <c r="E981" s="20"/>
      <c r="F981" s="20"/>
    </row>
    <row r="982">
      <c r="A982" s="34"/>
      <c r="C982" s="20"/>
      <c r="D982" s="20"/>
      <c r="E982" s="20"/>
      <c r="F982" s="20"/>
    </row>
    <row r="983">
      <c r="A983" s="34"/>
      <c r="C983" s="20"/>
      <c r="D983" s="20"/>
      <c r="E983" s="20"/>
      <c r="F983" s="20"/>
    </row>
    <row r="984">
      <c r="A984" s="34"/>
      <c r="C984" s="20"/>
      <c r="D984" s="20"/>
      <c r="E984" s="20"/>
      <c r="F984" s="20"/>
    </row>
    <row r="985">
      <c r="A985" s="34"/>
      <c r="C985" s="20"/>
      <c r="D985" s="20"/>
      <c r="E985" s="20"/>
      <c r="F985" s="20"/>
    </row>
    <row r="986">
      <c r="A986" s="34"/>
      <c r="C986" s="20"/>
      <c r="D986" s="20"/>
      <c r="E986" s="20"/>
      <c r="F986" s="20"/>
    </row>
    <row r="987">
      <c r="A987" s="34"/>
      <c r="C987" s="20"/>
      <c r="D987" s="20"/>
      <c r="E987" s="20"/>
      <c r="F987" s="20"/>
    </row>
    <row r="988">
      <c r="A988" s="34"/>
      <c r="C988" s="20"/>
      <c r="D988" s="20"/>
      <c r="E988" s="20"/>
      <c r="F988" s="20"/>
    </row>
    <row r="989">
      <c r="A989" s="34"/>
      <c r="C989" s="20"/>
      <c r="D989" s="20"/>
      <c r="E989" s="20"/>
      <c r="F989" s="20"/>
    </row>
    <row r="990">
      <c r="A990" s="34"/>
      <c r="C990" s="20"/>
      <c r="D990" s="20"/>
      <c r="E990" s="20"/>
      <c r="F990" s="20"/>
    </row>
    <row r="991">
      <c r="A991" s="34"/>
      <c r="C991" s="20"/>
      <c r="D991" s="20"/>
      <c r="E991" s="20"/>
      <c r="F991" s="20"/>
    </row>
    <row r="992">
      <c r="A992" s="34"/>
      <c r="C992" s="20"/>
      <c r="D992" s="20"/>
      <c r="E992" s="20"/>
      <c r="F992" s="20"/>
    </row>
    <row r="993">
      <c r="A993" s="34"/>
      <c r="C993" s="20"/>
      <c r="D993" s="20"/>
      <c r="E993" s="20"/>
      <c r="F993" s="20"/>
    </row>
    <row r="994">
      <c r="A994" s="34"/>
      <c r="C994" s="20"/>
      <c r="D994" s="20"/>
      <c r="E994" s="20"/>
      <c r="F994" s="20"/>
    </row>
    <row r="995">
      <c r="A995" s="34"/>
      <c r="C995" s="20"/>
      <c r="D995" s="20"/>
      <c r="E995" s="20"/>
      <c r="F995" s="20"/>
    </row>
    <row r="996">
      <c r="A996" s="34"/>
      <c r="C996" s="20"/>
      <c r="D996" s="20"/>
      <c r="E996" s="20"/>
      <c r="F996" s="20"/>
    </row>
    <row r="997">
      <c r="A997" s="34"/>
      <c r="C997" s="20"/>
      <c r="D997" s="20"/>
      <c r="E997" s="20"/>
      <c r="F997" s="20"/>
    </row>
    <row r="998">
      <c r="A998" s="34"/>
      <c r="C998" s="20"/>
      <c r="D998" s="20"/>
      <c r="E998" s="20"/>
      <c r="F998" s="20"/>
    </row>
    <row r="999">
      <c r="A999" s="34"/>
      <c r="C999" s="20"/>
      <c r="D999" s="20"/>
      <c r="E999" s="20"/>
      <c r="F999" s="20"/>
    </row>
    <row r="1000">
      <c r="A1000" s="34"/>
      <c r="C1000" s="20"/>
      <c r="D1000" s="20"/>
      <c r="E1000" s="20"/>
      <c r="F1000" s="20"/>
    </row>
  </sheetData>
  <mergeCells count="10">
    <mergeCell ref="A45:A50"/>
    <mergeCell ref="A51:A56"/>
    <mergeCell ref="A57:A62"/>
    <mergeCell ref="A2:A7"/>
    <mergeCell ref="A9:A14"/>
    <mergeCell ref="A15:A20"/>
    <mergeCell ref="A21:A26"/>
    <mergeCell ref="A27:A32"/>
    <mergeCell ref="A33:A38"/>
    <mergeCell ref="A39:A4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13"/>
    <col customWidth="1" min="3" max="3" width="53.63"/>
    <col customWidth="1" min="4" max="4" width="32.63"/>
    <col customWidth="1" min="5" max="5" width="37.0"/>
  </cols>
  <sheetData>
    <row r="1">
      <c r="A1" s="2" t="s">
        <v>0</v>
      </c>
      <c r="B1" s="4" t="s">
        <v>1</v>
      </c>
      <c r="C1" s="14" t="s">
        <v>5</v>
      </c>
      <c r="D1" s="13" t="s">
        <v>17</v>
      </c>
      <c r="E1" s="13" t="s">
        <v>21</v>
      </c>
      <c r="F1" s="18" t="s">
        <v>9</v>
      </c>
    </row>
    <row r="2">
      <c r="A2" s="21" t="s">
        <v>27</v>
      </c>
      <c r="B2" s="23" t="s">
        <v>29</v>
      </c>
      <c r="C2" s="25" t="s">
        <v>33</v>
      </c>
      <c r="D2" s="28"/>
      <c r="E2" s="29" t="s">
        <v>47</v>
      </c>
    </row>
    <row r="3">
      <c r="A3" s="30"/>
      <c r="B3" s="23" t="s">
        <v>50</v>
      </c>
      <c r="C3" s="31" t="s">
        <v>56</v>
      </c>
      <c r="D3" s="29" t="s">
        <v>62</v>
      </c>
      <c r="E3" s="29" t="s">
        <v>67</v>
      </c>
    </row>
    <row r="4">
      <c r="A4" s="30"/>
      <c r="B4" s="23" t="s">
        <v>71</v>
      </c>
      <c r="C4" s="29" t="s">
        <v>73</v>
      </c>
      <c r="D4" s="29" t="s">
        <v>75</v>
      </c>
      <c r="E4" s="28"/>
    </row>
    <row r="5">
      <c r="A5" s="30"/>
      <c r="B5" s="23" t="s">
        <v>78</v>
      </c>
      <c r="C5" s="29" t="s">
        <v>83</v>
      </c>
      <c r="D5" s="35" t="s">
        <v>88</v>
      </c>
      <c r="E5" s="29" t="s">
        <v>121</v>
      </c>
    </row>
    <row r="6">
      <c r="A6" s="36"/>
      <c r="B6" s="23" t="s">
        <v>55</v>
      </c>
      <c r="C6" s="25" t="s">
        <v>137</v>
      </c>
      <c r="D6" s="29" t="s">
        <v>145</v>
      </c>
      <c r="E6" s="29" t="s">
        <v>150</v>
      </c>
    </row>
    <row r="7">
      <c r="A7" s="37" t="s">
        <v>155</v>
      </c>
      <c r="B7" s="38"/>
      <c r="C7" s="12"/>
      <c r="D7" s="12"/>
      <c r="E7" s="12"/>
    </row>
    <row r="8">
      <c r="B8" s="39" t="s">
        <v>28</v>
      </c>
      <c r="C8" s="22" t="s">
        <v>162</v>
      </c>
      <c r="D8" s="22" t="s">
        <v>164</v>
      </c>
      <c r="E8" s="22" t="s">
        <v>165</v>
      </c>
    </row>
    <row r="9">
      <c r="B9" s="39" t="s">
        <v>71</v>
      </c>
      <c r="C9" s="22" t="s">
        <v>73</v>
      </c>
      <c r="D9" s="22" t="s">
        <v>75</v>
      </c>
      <c r="E9" s="12"/>
    </row>
    <row r="10">
      <c r="B10" s="39" t="s">
        <v>174</v>
      </c>
      <c r="C10" s="22" t="s">
        <v>175</v>
      </c>
      <c r="D10" s="22" t="s">
        <v>177</v>
      </c>
      <c r="E10" s="22" t="s">
        <v>179</v>
      </c>
    </row>
    <row r="11">
      <c r="B11" s="39" t="s">
        <v>182</v>
      </c>
      <c r="C11" s="22" t="s">
        <v>183</v>
      </c>
      <c r="D11" s="22" t="s">
        <v>184</v>
      </c>
      <c r="E11" s="22" t="s">
        <v>186</v>
      </c>
    </row>
    <row r="12">
      <c r="A12" s="37" t="s">
        <v>187</v>
      </c>
      <c r="B12" s="38"/>
      <c r="C12" s="12"/>
      <c r="D12" s="12"/>
      <c r="E12" s="12"/>
    </row>
    <row r="13">
      <c r="B13" s="39" t="s">
        <v>28</v>
      </c>
      <c r="C13" s="24" t="s">
        <v>189</v>
      </c>
      <c r="D13" s="22" t="s">
        <v>75</v>
      </c>
      <c r="E13" s="24" t="s">
        <v>165</v>
      </c>
    </row>
    <row r="14">
      <c r="B14" s="39" t="s">
        <v>71</v>
      </c>
      <c r="C14" s="22" t="s">
        <v>195</v>
      </c>
      <c r="D14" s="22" t="s">
        <v>197</v>
      </c>
      <c r="E14" s="12"/>
    </row>
    <row r="15">
      <c r="B15" s="39" t="s">
        <v>44</v>
      </c>
      <c r="C15" s="22"/>
      <c r="D15" s="22"/>
      <c r="E15" s="22"/>
    </row>
    <row r="16">
      <c r="B16" s="39" t="s">
        <v>55</v>
      </c>
      <c r="C16" s="22" t="s">
        <v>203</v>
      </c>
      <c r="D16" s="22" t="s">
        <v>205</v>
      </c>
      <c r="E16" s="22" t="s">
        <v>206</v>
      </c>
    </row>
    <row r="17">
      <c r="A17" s="37" t="s">
        <v>207</v>
      </c>
      <c r="B17" s="39" t="s">
        <v>209</v>
      </c>
      <c r="C17" s="12"/>
      <c r="D17" s="12"/>
      <c r="E17" s="12"/>
    </row>
    <row r="18">
      <c r="B18" s="39" t="s">
        <v>28</v>
      </c>
      <c r="C18" s="22" t="s">
        <v>211</v>
      </c>
      <c r="D18" s="22" t="s">
        <v>75</v>
      </c>
      <c r="E18" s="22" t="s">
        <v>165</v>
      </c>
    </row>
    <row r="19">
      <c r="B19" s="39" t="s">
        <v>71</v>
      </c>
      <c r="C19" s="22" t="s">
        <v>211</v>
      </c>
      <c r="D19" s="22" t="s">
        <v>75</v>
      </c>
      <c r="E19" s="12"/>
    </row>
    <row r="20">
      <c r="B20" s="39" t="s">
        <v>174</v>
      </c>
      <c r="C20" s="22" t="s">
        <v>211</v>
      </c>
      <c r="D20" s="22" t="s">
        <v>75</v>
      </c>
      <c r="E20" s="12"/>
    </row>
    <row r="21">
      <c r="B21" s="39" t="s">
        <v>55</v>
      </c>
      <c r="C21" s="22"/>
      <c r="D21" s="22" t="s">
        <v>75</v>
      </c>
      <c r="E21" s="22" t="s">
        <v>206</v>
      </c>
    </row>
    <row r="22">
      <c r="A22" s="37" t="s">
        <v>217</v>
      </c>
      <c r="B22" s="39" t="s">
        <v>71</v>
      </c>
      <c r="C22" s="22" t="s">
        <v>195</v>
      </c>
      <c r="D22" s="22" t="s">
        <v>218</v>
      </c>
      <c r="E22" s="12"/>
    </row>
    <row r="23">
      <c r="B23" s="39" t="s">
        <v>28</v>
      </c>
      <c r="C23" s="22" t="s">
        <v>222</v>
      </c>
      <c r="D23" s="22" t="s">
        <v>197</v>
      </c>
      <c r="E23" s="22" t="s">
        <v>223</v>
      </c>
    </row>
    <row r="24">
      <c r="B24" s="39" t="s">
        <v>44</v>
      </c>
      <c r="C24" s="22"/>
      <c r="D24" s="22"/>
      <c r="E24" s="22"/>
    </row>
    <row r="25">
      <c r="B25" s="38"/>
      <c r="C25" s="12"/>
      <c r="D25" s="12"/>
      <c r="E25" s="12"/>
    </row>
    <row r="26">
      <c r="B26" s="39" t="s">
        <v>55</v>
      </c>
      <c r="C26" s="22" t="s">
        <v>226</v>
      </c>
      <c r="D26" s="22" t="s">
        <v>228</v>
      </c>
      <c r="E26" s="22" t="s">
        <v>230</v>
      </c>
    </row>
    <row r="27">
      <c r="A27" s="40" t="s">
        <v>232</v>
      </c>
      <c r="B27" s="38"/>
      <c r="C27" s="12"/>
      <c r="D27" s="12"/>
      <c r="E27" s="12"/>
    </row>
    <row r="28">
      <c r="A28" s="41" t="s">
        <v>237</v>
      </c>
      <c r="B28" s="38"/>
      <c r="C28" s="12"/>
      <c r="D28" s="12"/>
      <c r="E28" s="12"/>
    </row>
    <row r="29">
      <c r="B29" s="39" t="s">
        <v>28</v>
      </c>
      <c r="C29" s="22" t="s">
        <v>241</v>
      </c>
      <c r="D29" s="22" t="s">
        <v>218</v>
      </c>
      <c r="E29" s="22" t="s">
        <v>243</v>
      </c>
    </row>
    <row r="30">
      <c r="B30" s="39" t="s">
        <v>71</v>
      </c>
      <c r="C30" s="22" t="s">
        <v>245</v>
      </c>
      <c r="D30" s="22" t="s">
        <v>81</v>
      </c>
      <c r="E30" s="12"/>
    </row>
    <row r="31">
      <c r="B31" s="38"/>
      <c r="C31" s="22" t="s">
        <v>249</v>
      </c>
      <c r="D31" s="12"/>
      <c r="E31" s="12"/>
    </row>
    <row r="32">
      <c r="B32" s="39" t="s">
        <v>55</v>
      </c>
      <c r="C32" s="22" t="s">
        <v>251</v>
      </c>
      <c r="D32" s="22" t="s">
        <v>253</v>
      </c>
      <c r="E32" s="22" t="s">
        <v>254</v>
      </c>
    </row>
    <row r="33">
      <c r="A33" s="41" t="s">
        <v>255</v>
      </c>
      <c r="B33" s="39" t="s">
        <v>28</v>
      </c>
      <c r="C33" s="22" t="s">
        <v>257</v>
      </c>
      <c r="D33" s="12"/>
      <c r="E33" s="22" t="s">
        <v>260</v>
      </c>
    </row>
    <row r="34">
      <c r="B34" s="39" t="s">
        <v>244</v>
      </c>
      <c r="C34" s="22" t="s">
        <v>263</v>
      </c>
      <c r="D34" s="12"/>
      <c r="E34" s="12"/>
    </row>
    <row r="35">
      <c r="B35" s="39" t="s">
        <v>264</v>
      </c>
      <c r="C35" s="9" t="s">
        <v>265</v>
      </c>
      <c r="D35" s="9" t="s">
        <v>218</v>
      </c>
      <c r="E35" s="22" t="s">
        <v>266</v>
      </c>
    </row>
    <row r="36">
      <c r="B36" s="38"/>
      <c r="C36" s="12"/>
      <c r="D36" s="12"/>
      <c r="E36" s="12"/>
    </row>
    <row r="37">
      <c r="B37" s="39" t="s">
        <v>55</v>
      </c>
      <c r="C37" s="22" t="s">
        <v>270</v>
      </c>
      <c r="D37" s="22" t="s">
        <v>271</v>
      </c>
      <c r="E37" s="22" t="s">
        <v>272</v>
      </c>
    </row>
    <row r="38">
      <c r="A38" s="42">
        <v>46029.0</v>
      </c>
      <c r="B38" s="39" t="s">
        <v>244</v>
      </c>
      <c r="C38" s="22" t="s">
        <v>275</v>
      </c>
      <c r="D38" s="12"/>
      <c r="E38" s="12"/>
    </row>
    <row r="39">
      <c r="A39" s="42"/>
      <c r="B39" s="39" t="s">
        <v>28</v>
      </c>
      <c r="C39" s="22" t="s">
        <v>260</v>
      </c>
      <c r="D39" s="22" t="s">
        <v>278</v>
      </c>
      <c r="E39" s="22" t="s">
        <v>279</v>
      </c>
    </row>
    <row r="40">
      <c r="A40" s="42"/>
      <c r="B40" s="39" t="s">
        <v>71</v>
      </c>
      <c r="C40" s="22" t="s">
        <v>281</v>
      </c>
      <c r="D40" s="22" t="s">
        <v>218</v>
      </c>
      <c r="E40" s="24" t="s">
        <v>282</v>
      </c>
    </row>
    <row r="41">
      <c r="A41" s="42"/>
      <c r="B41" s="39" t="s">
        <v>44</v>
      </c>
      <c r="C41" s="24" t="s">
        <v>284</v>
      </c>
      <c r="D41" s="22" t="s">
        <v>285</v>
      </c>
      <c r="E41" s="24" t="s">
        <v>288</v>
      </c>
    </row>
    <row r="42">
      <c r="A42" s="42"/>
      <c r="B42" s="39" t="s">
        <v>55</v>
      </c>
      <c r="C42" s="22" t="s">
        <v>289</v>
      </c>
      <c r="D42" s="22" t="s">
        <v>290</v>
      </c>
      <c r="E42" s="22" t="s">
        <v>291</v>
      </c>
    </row>
    <row r="43">
      <c r="A43" s="43">
        <v>46060.0</v>
      </c>
      <c r="B43" s="39"/>
      <c r="C43" s="12"/>
      <c r="D43" s="12"/>
      <c r="E43" s="12"/>
    </row>
    <row r="44">
      <c r="B44" s="39" t="s">
        <v>28</v>
      </c>
      <c r="C44" s="22" t="s">
        <v>296</v>
      </c>
      <c r="D44" s="22" t="s">
        <v>297</v>
      </c>
      <c r="E44" s="22" t="s">
        <v>298</v>
      </c>
    </row>
    <row r="45">
      <c r="B45" s="39" t="s">
        <v>71</v>
      </c>
      <c r="C45" s="22" t="s">
        <v>300</v>
      </c>
      <c r="D45" s="22" t="s">
        <v>197</v>
      </c>
      <c r="E45" s="22" t="s">
        <v>301</v>
      </c>
    </row>
    <row r="46">
      <c r="B46" s="39" t="s">
        <v>10</v>
      </c>
      <c r="C46" s="22" t="s">
        <v>303</v>
      </c>
      <c r="D46" s="22" t="s">
        <v>304</v>
      </c>
      <c r="E46" s="22" t="s">
        <v>306</v>
      </c>
    </row>
    <row r="47">
      <c r="B47" s="39" t="s">
        <v>307</v>
      </c>
      <c r="C47" s="22" t="s">
        <v>308</v>
      </c>
      <c r="D47" s="22" t="s">
        <v>310</v>
      </c>
      <c r="E47" s="22" t="s">
        <v>311</v>
      </c>
    </row>
    <row r="48">
      <c r="A48" s="43">
        <v>46088.0</v>
      </c>
      <c r="B48" s="38"/>
      <c r="C48" s="12"/>
      <c r="D48" s="12"/>
      <c r="E48" s="12"/>
    </row>
    <row r="49">
      <c r="B49" s="39" t="s">
        <v>28</v>
      </c>
      <c r="C49" s="22" t="s">
        <v>298</v>
      </c>
      <c r="D49" s="22" t="s">
        <v>314</v>
      </c>
      <c r="E49" s="22" t="s">
        <v>316</v>
      </c>
    </row>
    <row r="50">
      <c r="B50" s="39" t="s">
        <v>71</v>
      </c>
      <c r="C50" s="22" t="s">
        <v>317</v>
      </c>
      <c r="D50" s="22" t="s">
        <v>218</v>
      </c>
      <c r="E50" s="22" t="s">
        <v>318</v>
      </c>
    </row>
    <row r="51">
      <c r="B51" s="39" t="s">
        <v>44</v>
      </c>
      <c r="C51" s="22" t="s">
        <v>320</v>
      </c>
      <c r="D51" s="22" t="s">
        <v>34</v>
      </c>
      <c r="E51" s="22" t="s">
        <v>321</v>
      </c>
    </row>
    <row r="52">
      <c r="B52" s="39" t="s">
        <v>55</v>
      </c>
      <c r="C52" s="22" t="s">
        <v>323</v>
      </c>
      <c r="D52" s="22" t="s">
        <v>324</v>
      </c>
      <c r="E52" s="22" t="s">
        <v>325</v>
      </c>
    </row>
    <row r="53">
      <c r="A53" s="43">
        <v>46180.0</v>
      </c>
      <c r="B53" s="38"/>
      <c r="C53" s="12"/>
      <c r="D53" s="12"/>
      <c r="E53" s="12"/>
    </row>
    <row r="54">
      <c r="B54" s="39" t="s">
        <v>71</v>
      </c>
      <c r="C54" s="22" t="s">
        <v>329</v>
      </c>
      <c r="D54" s="22" t="s">
        <v>330</v>
      </c>
      <c r="E54" s="22" t="s">
        <v>331</v>
      </c>
    </row>
    <row r="55">
      <c r="B55" s="39" t="s">
        <v>28</v>
      </c>
      <c r="C55" s="22" t="s">
        <v>332</v>
      </c>
      <c r="D55" s="22" t="s">
        <v>333</v>
      </c>
      <c r="E55" s="22" t="s">
        <v>334</v>
      </c>
    </row>
    <row r="56">
      <c r="B56" s="39" t="s">
        <v>44</v>
      </c>
      <c r="C56" s="22" t="s">
        <v>335</v>
      </c>
      <c r="D56" s="22" t="s">
        <v>337</v>
      </c>
      <c r="E56" s="22" t="s">
        <v>338</v>
      </c>
    </row>
    <row r="57">
      <c r="B57" s="39" t="s">
        <v>55</v>
      </c>
      <c r="C57" s="22" t="s">
        <v>339</v>
      </c>
      <c r="D57" s="22" t="s">
        <v>340</v>
      </c>
      <c r="E57" s="22" t="s">
        <v>341</v>
      </c>
    </row>
    <row r="58">
      <c r="A58" s="43">
        <v>46210.0</v>
      </c>
      <c r="B58" s="38"/>
      <c r="C58" s="12"/>
      <c r="D58" s="12"/>
      <c r="E58" s="12"/>
    </row>
    <row r="59">
      <c r="B59" s="39" t="s">
        <v>244</v>
      </c>
      <c r="C59" s="22" t="s">
        <v>343</v>
      </c>
      <c r="D59" s="22"/>
      <c r="E59" s="22"/>
    </row>
    <row r="60">
      <c r="B60" s="39" t="s">
        <v>28</v>
      </c>
      <c r="C60" s="22" t="s">
        <v>334</v>
      </c>
      <c r="D60" s="22" t="s">
        <v>346</v>
      </c>
      <c r="E60" s="22" t="s">
        <v>347</v>
      </c>
    </row>
    <row r="61">
      <c r="B61" s="39" t="s">
        <v>71</v>
      </c>
      <c r="C61" s="22" t="s">
        <v>331</v>
      </c>
      <c r="D61" s="22" t="s">
        <v>348</v>
      </c>
      <c r="E61" s="22" t="s">
        <v>331</v>
      </c>
    </row>
    <row r="62">
      <c r="B62" s="39" t="s">
        <v>44</v>
      </c>
      <c r="C62" s="22" t="s">
        <v>350</v>
      </c>
      <c r="D62" s="22" t="s">
        <v>351</v>
      </c>
      <c r="E62" s="22" t="s">
        <v>352</v>
      </c>
    </row>
    <row r="63">
      <c r="B63" s="39" t="s">
        <v>182</v>
      </c>
      <c r="C63" s="22" t="s">
        <v>353</v>
      </c>
      <c r="D63" s="22" t="s">
        <v>354</v>
      </c>
      <c r="E63" s="22" t="s">
        <v>355</v>
      </c>
    </row>
    <row r="64">
      <c r="A64" s="43">
        <v>46211.0</v>
      </c>
      <c r="B64" s="38"/>
      <c r="C64" s="12"/>
      <c r="D64" s="12"/>
      <c r="E64" s="12"/>
    </row>
    <row r="65">
      <c r="B65" s="39" t="s">
        <v>244</v>
      </c>
      <c r="C65" s="22" t="s">
        <v>357</v>
      </c>
      <c r="D65" s="12"/>
      <c r="E65" s="12"/>
    </row>
    <row r="66">
      <c r="B66" s="39" t="s">
        <v>28</v>
      </c>
      <c r="C66" s="22" t="s">
        <v>358</v>
      </c>
      <c r="D66" s="22" t="s">
        <v>359</v>
      </c>
      <c r="E66" s="22" t="s">
        <v>360</v>
      </c>
    </row>
    <row r="67">
      <c r="B67" s="39" t="s">
        <v>10</v>
      </c>
      <c r="C67" s="22" t="s">
        <v>361</v>
      </c>
      <c r="D67" s="22" t="s">
        <v>362</v>
      </c>
      <c r="E67" s="22" t="s">
        <v>363</v>
      </c>
    </row>
    <row r="68">
      <c r="B68" s="39" t="s">
        <v>71</v>
      </c>
      <c r="C68" s="22" t="s">
        <v>331</v>
      </c>
      <c r="D68" s="22" t="s">
        <v>218</v>
      </c>
      <c r="E68" s="22" t="s">
        <v>364</v>
      </c>
    </row>
    <row r="69">
      <c r="B69" s="39" t="s">
        <v>55</v>
      </c>
      <c r="C69" s="22" t="s">
        <v>365</v>
      </c>
      <c r="D69" s="22" t="s">
        <v>366</v>
      </c>
      <c r="E69" s="22" t="s">
        <v>367</v>
      </c>
    </row>
    <row r="70">
      <c r="A70" s="43">
        <v>46212.0</v>
      </c>
      <c r="B70" s="39" t="s">
        <v>71</v>
      </c>
      <c r="C70" s="22" t="s">
        <v>368</v>
      </c>
      <c r="D70" s="22" t="s">
        <v>218</v>
      </c>
      <c r="E70" s="22" t="s">
        <v>369</v>
      </c>
    </row>
    <row r="71">
      <c r="B71" s="39" t="s">
        <v>244</v>
      </c>
      <c r="C71" s="22" t="s">
        <v>370</v>
      </c>
      <c r="E71" s="12"/>
    </row>
    <row r="72">
      <c r="B72" s="39" t="s">
        <v>28</v>
      </c>
      <c r="C72" s="22" t="s">
        <v>360</v>
      </c>
      <c r="D72" s="22" t="s">
        <v>371</v>
      </c>
      <c r="E72" s="22" t="s">
        <v>372</v>
      </c>
    </row>
    <row r="73">
      <c r="B73" s="39" t="s">
        <v>44</v>
      </c>
      <c r="C73" s="22" t="s">
        <v>373</v>
      </c>
      <c r="D73" s="22" t="s">
        <v>374</v>
      </c>
      <c r="E73" s="22" t="s">
        <v>375</v>
      </c>
    </row>
    <row r="74">
      <c r="B74" s="38"/>
      <c r="C74" s="12"/>
      <c r="D74" s="12"/>
      <c r="E74" s="12"/>
    </row>
    <row r="75">
      <c r="B75" s="39" t="s">
        <v>55</v>
      </c>
      <c r="C75" s="22" t="s">
        <v>376</v>
      </c>
      <c r="D75" s="22" t="s">
        <v>377</v>
      </c>
      <c r="E75" s="22" t="s">
        <v>378</v>
      </c>
    </row>
    <row r="76">
      <c r="B76" s="38"/>
      <c r="C76" s="12"/>
      <c r="D76" s="12"/>
      <c r="E76" s="12"/>
    </row>
    <row r="77">
      <c r="A77" s="43">
        <v>46213.0</v>
      </c>
      <c r="B77" s="39" t="s">
        <v>71</v>
      </c>
      <c r="C77" s="22" t="s">
        <v>369</v>
      </c>
      <c r="D77" s="22" t="s">
        <v>161</v>
      </c>
      <c r="E77" s="22" t="s">
        <v>379</v>
      </c>
    </row>
    <row r="78">
      <c r="B78" s="39" t="s">
        <v>244</v>
      </c>
      <c r="C78" s="44"/>
      <c r="D78" s="12"/>
      <c r="E78" s="12"/>
    </row>
    <row r="79">
      <c r="B79" s="39" t="s">
        <v>28</v>
      </c>
      <c r="C79" s="22" t="s">
        <v>372</v>
      </c>
      <c r="D79" s="22" t="s">
        <v>371</v>
      </c>
      <c r="E79" s="22" t="s">
        <v>380</v>
      </c>
    </row>
    <row r="80">
      <c r="B80" s="39" t="s">
        <v>44</v>
      </c>
      <c r="C80" s="22" t="s">
        <v>381</v>
      </c>
      <c r="D80" s="22" t="s">
        <v>351</v>
      </c>
      <c r="E80" s="22" t="s">
        <v>382</v>
      </c>
    </row>
    <row r="81">
      <c r="B81" s="38"/>
      <c r="C81" s="12"/>
      <c r="D81" s="12"/>
      <c r="E81" s="12"/>
    </row>
    <row r="82">
      <c r="B82" s="39" t="s">
        <v>55</v>
      </c>
      <c r="C82" s="22" t="s">
        <v>383</v>
      </c>
      <c r="D82" s="22" t="s">
        <v>384</v>
      </c>
      <c r="E82" s="22" t="s">
        <v>385</v>
      </c>
    </row>
    <row r="83">
      <c r="B83" s="38"/>
      <c r="C83" s="12"/>
      <c r="D83" s="12"/>
      <c r="E83" s="12"/>
    </row>
    <row r="84">
      <c r="A84" s="43">
        <v>46216.0</v>
      </c>
      <c r="B84" s="38"/>
      <c r="C84" s="12"/>
      <c r="D84" s="12"/>
      <c r="E84" s="12"/>
    </row>
    <row r="85">
      <c r="B85" s="39" t="s">
        <v>244</v>
      </c>
      <c r="C85" s="22" t="s">
        <v>386</v>
      </c>
      <c r="D85" s="45" t="s">
        <v>387</v>
      </c>
      <c r="E85" s="22" t="s">
        <v>388</v>
      </c>
    </row>
    <row r="86">
      <c r="B86" s="39" t="s">
        <v>28</v>
      </c>
      <c r="C86" s="22" t="s">
        <v>380</v>
      </c>
      <c r="D86" s="22" t="s">
        <v>389</v>
      </c>
      <c r="E86" s="22" t="s">
        <v>390</v>
      </c>
    </row>
    <row r="87">
      <c r="B87" s="39" t="s">
        <v>44</v>
      </c>
      <c r="C87" s="22" t="s">
        <v>391</v>
      </c>
      <c r="D87" s="12"/>
      <c r="E87" s="22" t="s">
        <v>392</v>
      </c>
    </row>
    <row r="88">
      <c r="B88" s="39" t="s">
        <v>71</v>
      </c>
      <c r="C88" s="22" t="s">
        <v>369</v>
      </c>
      <c r="D88" s="22" t="s">
        <v>161</v>
      </c>
      <c r="E88" s="22" t="s">
        <v>393</v>
      </c>
    </row>
    <row r="89">
      <c r="B89" s="39" t="s">
        <v>55</v>
      </c>
      <c r="C89" s="22" t="s">
        <v>394</v>
      </c>
      <c r="D89" s="22" t="s">
        <v>395</v>
      </c>
      <c r="E89" s="22" t="s">
        <v>396</v>
      </c>
    </row>
    <row r="90">
      <c r="B90" s="38"/>
      <c r="C90" s="12"/>
      <c r="D90" s="12"/>
      <c r="E90" s="12"/>
    </row>
    <row r="91">
      <c r="A91" s="43">
        <v>46217.0</v>
      </c>
      <c r="B91" s="39" t="s">
        <v>71</v>
      </c>
      <c r="C91" s="22" t="s">
        <v>393</v>
      </c>
      <c r="D91" s="22" t="s">
        <v>218</v>
      </c>
      <c r="E91" s="22" t="s">
        <v>397</v>
      </c>
    </row>
    <row r="92">
      <c r="B92" s="39" t="s">
        <v>244</v>
      </c>
      <c r="C92" s="22" t="s">
        <v>388</v>
      </c>
      <c r="D92" s="22" t="s">
        <v>398</v>
      </c>
      <c r="E92" s="22" t="s">
        <v>399</v>
      </c>
    </row>
    <row r="93">
      <c r="B93" s="39" t="s">
        <v>28</v>
      </c>
      <c r="C93" s="22" t="s">
        <v>400</v>
      </c>
      <c r="D93" s="22" t="s">
        <v>371</v>
      </c>
      <c r="E93" s="22" t="s">
        <v>401</v>
      </c>
    </row>
    <row r="94">
      <c r="B94" s="39" t="s">
        <v>44</v>
      </c>
      <c r="C94" s="22" t="s">
        <v>402</v>
      </c>
      <c r="D94" s="12"/>
      <c r="E94" s="22" t="s">
        <v>403</v>
      </c>
    </row>
    <row r="95">
      <c r="B95" s="38"/>
      <c r="C95" s="12"/>
      <c r="D95" s="12"/>
      <c r="E95" s="12"/>
    </row>
    <row r="96">
      <c r="B96" s="39" t="s">
        <v>55</v>
      </c>
      <c r="C96" s="22" t="s">
        <v>404</v>
      </c>
      <c r="D96" s="46" t="s">
        <v>405</v>
      </c>
      <c r="E96" s="22" t="s">
        <v>406</v>
      </c>
    </row>
    <row r="97">
      <c r="A97" s="43"/>
      <c r="B97" s="39"/>
      <c r="C97" s="22"/>
      <c r="D97" s="47"/>
      <c r="E97" s="22"/>
    </row>
    <row r="98">
      <c r="A98" s="48">
        <v>46218.0</v>
      </c>
      <c r="B98" s="39" t="s">
        <v>71</v>
      </c>
      <c r="C98" s="22" t="s">
        <v>407</v>
      </c>
      <c r="D98" s="22" t="s">
        <v>408</v>
      </c>
      <c r="E98" s="12"/>
    </row>
    <row r="99">
      <c r="B99" s="39" t="s">
        <v>244</v>
      </c>
      <c r="C99" s="22" t="s">
        <v>409</v>
      </c>
      <c r="D99" s="22" t="s">
        <v>410</v>
      </c>
      <c r="E99" s="45" t="s">
        <v>411</v>
      </c>
    </row>
    <row r="100">
      <c r="B100" s="39" t="s">
        <v>28</v>
      </c>
      <c r="C100" s="22" t="s">
        <v>401</v>
      </c>
      <c r="D100" s="22" t="s">
        <v>412</v>
      </c>
      <c r="E100" s="22" t="s">
        <v>413</v>
      </c>
    </row>
    <row r="101">
      <c r="B101" s="39" t="s">
        <v>414</v>
      </c>
      <c r="C101" s="22" t="s">
        <v>402</v>
      </c>
      <c r="D101" s="12"/>
      <c r="E101" s="22" t="s">
        <v>415</v>
      </c>
    </row>
    <row r="102">
      <c r="B102" s="39" t="s">
        <v>55</v>
      </c>
      <c r="C102" s="22" t="s">
        <v>416</v>
      </c>
      <c r="D102" s="22" t="s">
        <v>417</v>
      </c>
      <c r="E102" s="22" t="s">
        <v>418</v>
      </c>
    </row>
    <row r="103">
      <c r="A103" s="48">
        <v>46219.0</v>
      </c>
      <c r="B103" s="39" t="s">
        <v>71</v>
      </c>
      <c r="C103" s="22" t="s">
        <v>419</v>
      </c>
      <c r="D103" s="22" t="s">
        <v>420</v>
      </c>
      <c r="E103" s="12"/>
    </row>
    <row r="104">
      <c r="B104" s="39" t="s">
        <v>28</v>
      </c>
      <c r="C104" s="22" t="s">
        <v>413</v>
      </c>
      <c r="D104" s="22" t="s">
        <v>421</v>
      </c>
      <c r="E104" s="22" t="s">
        <v>422</v>
      </c>
    </row>
    <row r="105">
      <c r="B105" s="39" t="s">
        <v>244</v>
      </c>
      <c r="C105" s="45" t="s">
        <v>423</v>
      </c>
      <c r="D105" s="22" t="s">
        <v>424</v>
      </c>
      <c r="E105" s="22" t="s">
        <v>425</v>
      </c>
    </row>
    <row r="106">
      <c r="B106" s="39" t="s">
        <v>414</v>
      </c>
      <c r="C106" s="22" t="s">
        <v>426</v>
      </c>
      <c r="D106" s="12"/>
      <c r="E106" s="22" t="s">
        <v>427</v>
      </c>
    </row>
    <row r="107">
      <c r="B107" s="39" t="s">
        <v>182</v>
      </c>
      <c r="C107" s="22" t="s">
        <v>418</v>
      </c>
      <c r="D107" s="22" t="s">
        <v>428</v>
      </c>
      <c r="E107" s="22" t="s">
        <v>429</v>
      </c>
    </row>
    <row r="108">
      <c r="A108" s="48">
        <v>46220.0</v>
      </c>
      <c r="B108" s="39" t="s">
        <v>44</v>
      </c>
      <c r="C108" s="22" t="s">
        <v>430</v>
      </c>
      <c r="D108" s="22" t="s">
        <v>431</v>
      </c>
      <c r="E108" s="22" t="s">
        <v>432</v>
      </c>
    </row>
    <row r="109">
      <c r="B109" s="39" t="s">
        <v>28</v>
      </c>
      <c r="C109" s="22" t="s">
        <v>433</v>
      </c>
      <c r="D109" s="22" t="s">
        <v>434</v>
      </c>
      <c r="E109" s="22" t="s">
        <v>435</v>
      </c>
    </row>
    <row r="110">
      <c r="B110" s="39" t="s">
        <v>36</v>
      </c>
      <c r="C110" s="22" t="s">
        <v>436</v>
      </c>
      <c r="D110" s="22" t="s">
        <v>437</v>
      </c>
      <c r="E110" s="12"/>
    </row>
    <row r="111">
      <c r="B111" s="39" t="s">
        <v>71</v>
      </c>
      <c r="C111" s="22" t="s">
        <v>419</v>
      </c>
      <c r="D111" s="12"/>
      <c r="E111" s="12"/>
    </row>
    <row r="112">
      <c r="B112" s="39" t="s">
        <v>55</v>
      </c>
      <c r="C112" s="22" t="s">
        <v>438</v>
      </c>
      <c r="D112" s="22" t="s">
        <v>439</v>
      </c>
      <c r="E112" s="22" t="s">
        <v>440</v>
      </c>
    </row>
    <row r="113">
      <c r="A113" s="48">
        <v>46223.0</v>
      </c>
      <c r="B113" s="38"/>
      <c r="C113" s="12"/>
      <c r="D113" s="12"/>
      <c r="E113" s="12"/>
    </row>
    <row r="114">
      <c r="B114" s="39" t="s">
        <v>244</v>
      </c>
      <c r="C114" s="22" t="s">
        <v>441</v>
      </c>
      <c r="D114" s="22" t="s">
        <v>442</v>
      </c>
      <c r="E114" s="12"/>
    </row>
    <row r="115">
      <c r="B115" s="39" t="s">
        <v>44</v>
      </c>
      <c r="C115" s="22" t="s">
        <v>443</v>
      </c>
      <c r="D115" s="22" t="s">
        <v>444</v>
      </c>
      <c r="E115" s="22" t="s">
        <v>445</v>
      </c>
    </row>
    <row r="116">
      <c r="B116" s="39" t="s">
        <v>28</v>
      </c>
      <c r="C116" s="22" t="s">
        <v>73</v>
      </c>
      <c r="D116" s="22" t="s">
        <v>446</v>
      </c>
      <c r="E116" s="22" t="s">
        <v>446</v>
      </c>
    </row>
    <row r="117">
      <c r="B117" s="39" t="s">
        <v>55</v>
      </c>
      <c r="C117" s="22" t="s">
        <v>447</v>
      </c>
      <c r="D117" s="22" t="s">
        <v>448</v>
      </c>
      <c r="E117" s="22" t="s">
        <v>449</v>
      </c>
    </row>
    <row r="118">
      <c r="B118" s="39" t="s">
        <v>71</v>
      </c>
      <c r="C118" s="22" t="s">
        <v>450</v>
      </c>
      <c r="D118" s="22" t="s">
        <v>218</v>
      </c>
      <c r="E118" s="12"/>
    </row>
    <row r="119">
      <c r="A119" s="48">
        <v>46224.0</v>
      </c>
      <c r="B119" s="39" t="s">
        <v>28</v>
      </c>
      <c r="C119" s="22" t="s">
        <v>73</v>
      </c>
      <c r="D119" s="22" t="s">
        <v>446</v>
      </c>
      <c r="E119" s="22" t="s">
        <v>446</v>
      </c>
    </row>
    <row r="120">
      <c r="B120" s="39" t="s">
        <v>244</v>
      </c>
      <c r="C120" s="22" t="s">
        <v>451</v>
      </c>
      <c r="D120" s="22" t="s">
        <v>451</v>
      </c>
      <c r="E120" s="12"/>
    </row>
    <row r="121">
      <c r="B121" s="39" t="s">
        <v>44</v>
      </c>
      <c r="C121" s="22" t="s">
        <v>452</v>
      </c>
      <c r="D121" s="22" t="s">
        <v>453</v>
      </c>
      <c r="E121" s="22" t="s">
        <v>454</v>
      </c>
    </row>
    <row r="122">
      <c r="B122" s="38"/>
      <c r="C122" s="12"/>
      <c r="D122" s="12"/>
      <c r="E122" s="12"/>
    </row>
    <row r="123">
      <c r="B123" s="39" t="s">
        <v>55</v>
      </c>
      <c r="C123" s="22" t="s">
        <v>449</v>
      </c>
      <c r="D123" s="22" t="s">
        <v>455</v>
      </c>
      <c r="E123" s="22" t="s">
        <v>456</v>
      </c>
    </row>
    <row r="124">
      <c r="B124" s="39" t="s">
        <v>71</v>
      </c>
      <c r="C124" s="22" t="s">
        <v>457</v>
      </c>
      <c r="D124" s="22" t="s">
        <v>458</v>
      </c>
      <c r="E124" s="22" t="s">
        <v>459</v>
      </c>
    </row>
    <row r="125">
      <c r="A125" s="48">
        <v>46225.0</v>
      </c>
      <c r="B125" s="39" t="s">
        <v>28</v>
      </c>
      <c r="C125" s="22" t="s">
        <v>73</v>
      </c>
      <c r="D125" s="22" t="s">
        <v>446</v>
      </c>
      <c r="E125" s="22" t="s">
        <v>446</v>
      </c>
    </row>
    <row r="126">
      <c r="B126" s="39" t="s">
        <v>36</v>
      </c>
      <c r="C126" s="22" t="s">
        <v>460</v>
      </c>
      <c r="D126" s="22" t="s">
        <v>461</v>
      </c>
      <c r="E126" s="12"/>
    </row>
    <row r="127">
      <c r="B127" s="39" t="s">
        <v>71</v>
      </c>
      <c r="C127" s="22" t="s">
        <v>459</v>
      </c>
      <c r="D127" s="22" t="s">
        <v>458</v>
      </c>
      <c r="E127" s="22" t="s">
        <v>462</v>
      </c>
    </row>
    <row r="128">
      <c r="B128" s="39" t="s">
        <v>44</v>
      </c>
      <c r="C128" s="22" t="s">
        <v>463</v>
      </c>
      <c r="D128" s="22" t="s">
        <v>34</v>
      </c>
      <c r="E128" s="22" t="s">
        <v>464</v>
      </c>
    </row>
    <row r="129">
      <c r="B129" s="39" t="s">
        <v>182</v>
      </c>
      <c r="C129" s="22" t="s">
        <v>456</v>
      </c>
      <c r="D129" s="22" t="s">
        <v>465</v>
      </c>
      <c r="E129" s="22" t="s">
        <v>466</v>
      </c>
    </row>
    <row r="130">
      <c r="A130" s="48">
        <v>46226.0</v>
      </c>
      <c r="B130" s="39" t="s">
        <v>71</v>
      </c>
      <c r="C130" s="22" t="s">
        <v>462</v>
      </c>
      <c r="D130" s="22" t="s">
        <v>458</v>
      </c>
      <c r="E130" s="22" t="s">
        <v>467</v>
      </c>
    </row>
    <row r="131">
      <c r="B131" s="39" t="s">
        <v>36</v>
      </c>
      <c r="C131" s="22" t="s">
        <v>468</v>
      </c>
      <c r="D131" s="22" t="s">
        <v>469</v>
      </c>
      <c r="E131" s="12"/>
    </row>
    <row r="132">
      <c r="B132" s="39" t="s">
        <v>28</v>
      </c>
      <c r="C132" s="22" t="s">
        <v>470</v>
      </c>
      <c r="D132" s="22" t="s">
        <v>161</v>
      </c>
      <c r="E132" s="22" t="s">
        <v>471</v>
      </c>
    </row>
    <row r="133">
      <c r="B133" s="39" t="s">
        <v>44</v>
      </c>
      <c r="C133" s="22" t="s">
        <v>452</v>
      </c>
      <c r="D133" s="22" t="s">
        <v>472</v>
      </c>
      <c r="E133" s="12"/>
    </row>
    <row r="134">
      <c r="B134" s="39" t="s">
        <v>182</v>
      </c>
      <c r="C134" s="22" t="s">
        <v>466</v>
      </c>
      <c r="D134" s="22" t="s">
        <v>473</v>
      </c>
      <c r="E134" s="22" t="s">
        <v>474</v>
      </c>
    </row>
    <row r="135">
      <c r="A135" s="48">
        <v>46227.0</v>
      </c>
      <c r="B135" s="39" t="s">
        <v>71</v>
      </c>
      <c r="C135" s="22" t="s">
        <v>475</v>
      </c>
      <c r="D135" s="22" t="s">
        <v>458</v>
      </c>
      <c r="E135" s="22" t="s">
        <v>476</v>
      </c>
    </row>
    <row r="136">
      <c r="B136" s="39" t="s">
        <v>36</v>
      </c>
      <c r="C136" s="22" t="s">
        <v>477</v>
      </c>
      <c r="D136" s="22" t="s">
        <v>478</v>
      </c>
      <c r="E136" s="12"/>
    </row>
    <row r="137">
      <c r="B137" s="39" t="s">
        <v>28</v>
      </c>
      <c r="C137" s="22" t="s">
        <v>471</v>
      </c>
      <c r="D137" s="22" t="s">
        <v>479</v>
      </c>
      <c r="E137" s="22" t="s">
        <v>480</v>
      </c>
    </row>
    <row r="138">
      <c r="B138" s="39" t="s">
        <v>44</v>
      </c>
      <c r="C138" s="22" t="s">
        <v>481</v>
      </c>
      <c r="D138" s="12"/>
      <c r="E138" s="12"/>
    </row>
    <row r="139">
      <c r="B139" s="39" t="s">
        <v>182</v>
      </c>
      <c r="C139" s="22" t="s">
        <v>474</v>
      </c>
      <c r="D139" s="22" t="s">
        <v>482</v>
      </c>
      <c r="E139" s="22" t="s">
        <v>483</v>
      </c>
    </row>
    <row r="140" ht="42.75" customHeight="1">
      <c r="A140" s="48">
        <v>46230.0</v>
      </c>
      <c r="B140" s="39" t="s">
        <v>71</v>
      </c>
      <c r="C140" s="22" t="s">
        <v>484</v>
      </c>
      <c r="D140" s="22" t="s">
        <v>218</v>
      </c>
      <c r="E140" s="22" t="s">
        <v>485</v>
      </c>
    </row>
    <row r="141">
      <c r="B141" s="39" t="s">
        <v>36</v>
      </c>
      <c r="C141" s="22" t="s">
        <v>486</v>
      </c>
      <c r="D141" s="45" t="s">
        <v>487</v>
      </c>
      <c r="E141" s="12"/>
    </row>
    <row r="142">
      <c r="B142" s="39" t="s">
        <v>28</v>
      </c>
      <c r="C142" s="22" t="s">
        <v>480</v>
      </c>
      <c r="D142" s="22" t="s">
        <v>488</v>
      </c>
      <c r="E142" s="22" t="s">
        <v>480</v>
      </c>
    </row>
    <row r="143">
      <c r="B143" s="39" t="s">
        <v>44</v>
      </c>
      <c r="C143" s="22" t="s">
        <v>489</v>
      </c>
      <c r="D143" s="22" t="s">
        <v>490</v>
      </c>
      <c r="E143" s="22" t="s">
        <v>491</v>
      </c>
    </row>
    <row r="144">
      <c r="B144" s="39" t="s">
        <v>182</v>
      </c>
      <c r="C144" s="22" t="s">
        <v>483</v>
      </c>
      <c r="D144" s="22" t="s">
        <v>492</v>
      </c>
      <c r="E144" s="22" t="s">
        <v>493</v>
      </c>
    </row>
    <row r="145">
      <c r="A145" s="48">
        <v>46231.0</v>
      </c>
      <c r="B145" s="39" t="s">
        <v>71</v>
      </c>
      <c r="C145" s="22" t="s">
        <v>494</v>
      </c>
      <c r="D145" s="22" t="s">
        <v>495</v>
      </c>
      <c r="E145" s="22" t="s">
        <v>496</v>
      </c>
    </row>
    <row r="146">
      <c r="B146" s="39" t="s">
        <v>36</v>
      </c>
      <c r="C146" s="22" t="s">
        <v>497</v>
      </c>
      <c r="D146" s="45" t="s">
        <v>498</v>
      </c>
      <c r="E146" s="12"/>
    </row>
    <row r="147">
      <c r="B147" s="39" t="s">
        <v>28</v>
      </c>
      <c r="C147" s="22" t="s">
        <v>480</v>
      </c>
      <c r="D147" s="22" t="s">
        <v>499</v>
      </c>
      <c r="E147" s="22" t="s">
        <v>500</v>
      </c>
    </row>
    <row r="148">
      <c r="B148" s="39" t="s">
        <v>44</v>
      </c>
      <c r="C148" s="22" t="s">
        <v>501</v>
      </c>
      <c r="D148" s="22" t="s">
        <v>351</v>
      </c>
      <c r="E148" s="22" t="s">
        <v>502</v>
      </c>
    </row>
    <row r="149">
      <c r="B149" s="39" t="s">
        <v>182</v>
      </c>
      <c r="C149" s="22" t="s">
        <v>493</v>
      </c>
      <c r="D149" s="22" t="s">
        <v>503</v>
      </c>
      <c r="E149" s="24" t="s">
        <v>504</v>
      </c>
    </row>
    <row r="150">
      <c r="A150" s="48">
        <v>46232.0</v>
      </c>
      <c r="B150" s="39" t="s">
        <v>174</v>
      </c>
      <c r="C150" s="22" t="s">
        <v>505</v>
      </c>
      <c r="D150" s="49" t="s">
        <v>506</v>
      </c>
      <c r="E150" s="22" t="s">
        <v>507</v>
      </c>
    </row>
    <row r="151">
      <c r="B151" s="39" t="s">
        <v>264</v>
      </c>
      <c r="C151" s="22" t="s">
        <v>508</v>
      </c>
      <c r="D151" s="12"/>
      <c r="E151" s="12"/>
    </row>
    <row r="152">
      <c r="B152" s="39" t="s">
        <v>244</v>
      </c>
      <c r="C152" s="22" t="s">
        <v>509</v>
      </c>
      <c r="D152" s="22" t="s">
        <v>510</v>
      </c>
      <c r="E152" s="12"/>
    </row>
    <row r="153">
      <c r="B153" s="39" t="s">
        <v>28</v>
      </c>
      <c r="C153" s="22" t="s">
        <v>500</v>
      </c>
      <c r="D153" s="22" t="s">
        <v>511</v>
      </c>
      <c r="E153" s="22" t="s">
        <v>512</v>
      </c>
    </row>
    <row r="154">
      <c r="B154" s="39" t="s">
        <v>182</v>
      </c>
      <c r="C154" s="22" t="s">
        <v>504</v>
      </c>
      <c r="D154" s="22" t="s">
        <v>513</v>
      </c>
      <c r="E154" s="22" t="s">
        <v>514</v>
      </c>
    </row>
    <row r="155">
      <c r="A155" s="48">
        <v>46233.0</v>
      </c>
      <c r="B155" s="39" t="s">
        <v>28</v>
      </c>
      <c r="C155" s="22" t="s">
        <v>515</v>
      </c>
      <c r="D155" s="22" t="s">
        <v>516</v>
      </c>
      <c r="E155" s="22" t="s">
        <v>517</v>
      </c>
    </row>
    <row r="156">
      <c r="B156" s="39" t="s">
        <v>244</v>
      </c>
      <c r="C156" s="22" t="s">
        <v>518</v>
      </c>
      <c r="D156" s="22" t="s">
        <v>519</v>
      </c>
      <c r="E156" s="12"/>
    </row>
    <row r="157">
      <c r="B157" s="39" t="s">
        <v>44</v>
      </c>
      <c r="C157" s="22" t="s">
        <v>520</v>
      </c>
      <c r="D157" s="22" t="s">
        <v>521</v>
      </c>
      <c r="E157" s="22" t="s">
        <v>522</v>
      </c>
    </row>
    <row r="158">
      <c r="B158" s="39" t="s">
        <v>71</v>
      </c>
      <c r="C158" s="22" t="s">
        <v>523</v>
      </c>
      <c r="D158" s="22" t="s">
        <v>524</v>
      </c>
      <c r="E158" s="22" t="s">
        <v>525</v>
      </c>
    </row>
    <row r="159">
      <c r="B159" s="39" t="s">
        <v>55</v>
      </c>
      <c r="C159" s="22" t="s">
        <v>514</v>
      </c>
      <c r="D159" s="22" t="s">
        <v>526</v>
      </c>
      <c r="E159" s="22" t="s">
        <v>527</v>
      </c>
    </row>
    <row r="160">
      <c r="A160" s="48">
        <v>46234.0</v>
      </c>
      <c r="B160" s="39" t="s">
        <v>28</v>
      </c>
      <c r="C160" s="22" t="s">
        <v>517</v>
      </c>
      <c r="D160" s="22" t="s">
        <v>528</v>
      </c>
      <c r="E160" s="22" t="s">
        <v>529</v>
      </c>
    </row>
    <row r="161">
      <c r="B161" s="39" t="s">
        <v>71</v>
      </c>
      <c r="C161" s="22" t="s">
        <v>530</v>
      </c>
      <c r="D161" s="22" t="s">
        <v>531</v>
      </c>
      <c r="E161" s="12"/>
    </row>
    <row r="162">
      <c r="B162" s="39" t="s">
        <v>36</v>
      </c>
      <c r="C162" s="22" t="s">
        <v>532</v>
      </c>
      <c r="D162" s="22" t="s">
        <v>533</v>
      </c>
      <c r="E162" s="12"/>
    </row>
    <row r="163">
      <c r="B163" s="39" t="s">
        <v>44</v>
      </c>
      <c r="C163" s="22" t="s">
        <v>534</v>
      </c>
      <c r="D163" s="22" t="s">
        <v>535</v>
      </c>
      <c r="E163" s="22" t="s">
        <v>536</v>
      </c>
    </row>
    <row r="164">
      <c r="B164" s="39" t="s">
        <v>182</v>
      </c>
      <c r="C164" s="22" t="s">
        <v>537</v>
      </c>
      <c r="D164" s="22" t="s">
        <v>538</v>
      </c>
      <c r="E164" s="22" t="s">
        <v>539</v>
      </c>
    </row>
    <row r="165">
      <c r="B165" s="39"/>
      <c r="C165" s="22"/>
      <c r="D165" s="22"/>
      <c r="E165" s="12"/>
    </row>
    <row r="166">
      <c r="B166" s="38"/>
      <c r="C166" s="12"/>
      <c r="D166" s="12"/>
      <c r="E166" s="12"/>
    </row>
    <row r="167">
      <c r="B167" s="38"/>
      <c r="C167" s="12"/>
      <c r="D167" s="12"/>
      <c r="E167" s="12"/>
    </row>
    <row r="168">
      <c r="B168" s="38"/>
      <c r="C168" s="12"/>
      <c r="D168" s="12"/>
      <c r="E168" s="12"/>
    </row>
    <row r="169">
      <c r="B169" s="38"/>
      <c r="C169" s="12"/>
      <c r="D169" s="12"/>
      <c r="E169" s="12"/>
    </row>
    <row r="170">
      <c r="B170" s="38"/>
      <c r="C170" s="12"/>
      <c r="D170" s="12"/>
      <c r="E170" s="12"/>
    </row>
    <row r="171">
      <c r="B171" s="38"/>
      <c r="C171" s="12"/>
      <c r="D171" s="12"/>
      <c r="E171" s="12"/>
    </row>
    <row r="172">
      <c r="B172" s="38"/>
      <c r="C172" s="12"/>
      <c r="D172" s="12"/>
      <c r="E172" s="12"/>
    </row>
    <row r="173">
      <c r="B173" s="38"/>
      <c r="C173" s="12"/>
      <c r="D173" s="12"/>
      <c r="E173" s="12"/>
    </row>
    <row r="174">
      <c r="B174" s="38"/>
      <c r="C174" s="12"/>
      <c r="D174" s="12"/>
      <c r="E174" s="12"/>
    </row>
    <row r="175">
      <c r="B175" s="38"/>
      <c r="C175" s="12"/>
      <c r="D175" s="12"/>
      <c r="E175" s="12"/>
    </row>
    <row r="176">
      <c r="B176" s="38"/>
      <c r="C176" s="12"/>
      <c r="D176" s="12"/>
      <c r="E176" s="12"/>
    </row>
    <row r="177">
      <c r="B177" s="38"/>
      <c r="C177" s="12"/>
      <c r="D177" s="12"/>
      <c r="E177" s="12"/>
    </row>
    <row r="178">
      <c r="B178" s="38"/>
      <c r="C178" s="12"/>
      <c r="D178" s="12"/>
      <c r="E178" s="12"/>
    </row>
    <row r="179">
      <c r="B179" s="38"/>
      <c r="C179" s="12"/>
      <c r="D179" s="12"/>
      <c r="E179" s="12"/>
    </row>
    <row r="180">
      <c r="B180" s="38"/>
      <c r="C180" s="12"/>
      <c r="D180" s="12"/>
      <c r="E180" s="12"/>
    </row>
    <row r="181">
      <c r="B181" s="38"/>
      <c r="C181" s="12"/>
      <c r="D181" s="12"/>
      <c r="E181" s="12"/>
    </row>
    <row r="182">
      <c r="B182" s="38"/>
      <c r="C182" s="12"/>
      <c r="D182" s="12"/>
      <c r="E182" s="12"/>
    </row>
    <row r="183">
      <c r="B183" s="38"/>
      <c r="C183" s="12"/>
      <c r="D183" s="12"/>
      <c r="E183" s="12"/>
    </row>
    <row r="184">
      <c r="B184" s="38"/>
      <c r="C184" s="12"/>
      <c r="D184" s="12"/>
      <c r="E184" s="12"/>
    </row>
    <row r="185">
      <c r="B185" s="38"/>
      <c r="C185" s="12"/>
      <c r="D185" s="12"/>
      <c r="E185" s="12"/>
    </row>
    <row r="186">
      <c r="B186" s="38"/>
      <c r="C186" s="12"/>
      <c r="D186" s="12"/>
      <c r="E186" s="12"/>
    </row>
    <row r="187">
      <c r="B187" s="38"/>
      <c r="C187" s="12"/>
      <c r="D187" s="12"/>
      <c r="E187" s="12"/>
    </row>
    <row r="188">
      <c r="B188" s="38"/>
      <c r="C188" s="12"/>
      <c r="D188" s="12"/>
      <c r="E188" s="12"/>
    </row>
    <row r="189">
      <c r="B189" s="38"/>
      <c r="C189" s="12"/>
      <c r="D189" s="12"/>
      <c r="E189" s="12"/>
    </row>
    <row r="190">
      <c r="B190" s="38"/>
      <c r="C190" s="12"/>
      <c r="D190" s="12"/>
      <c r="E190" s="12"/>
    </row>
    <row r="191">
      <c r="B191" s="38"/>
      <c r="C191" s="12"/>
      <c r="D191" s="12"/>
      <c r="E191" s="12"/>
    </row>
    <row r="192">
      <c r="B192" s="38"/>
      <c r="C192" s="12"/>
      <c r="D192" s="12"/>
      <c r="E192" s="12"/>
    </row>
    <row r="193">
      <c r="B193" s="38"/>
      <c r="C193" s="12"/>
      <c r="D193" s="12"/>
      <c r="E193" s="12"/>
    </row>
    <row r="194">
      <c r="B194" s="38"/>
      <c r="C194" s="12"/>
      <c r="D194" s="12"/>
      <c r="E194" s="12"/>
    </row>
    <row r="195">
      <c r="B195" s="38"/>
      <c r="C195" s="12"/>
      <c r="D195" s="12"/>
      <c r="E195" s="12"/>
    </row>
    <row r="196">
      <c r="B196" s="38"/>
      <c r="C196" s="12"/>
      <c r="D196" s="12"/>
      <c r="E196" s="12"/>
    </row>
    <row r="197">
      <c r="B197" s="38"/>
      <c r="C197" s="12"/>
      <c r="D197" s="12"/>
      <c r="E197" s="12"/>
    </row>
    <row r="198">
      <c r="B198" s="38"/>
      <c r="C198" s="12"/>
      <c r="D198" s="12"/>
      <c r="E198" s="12"/>
    </row>
    <row r="199">
      <c r="B199" s="38"/>
      <c r="C199" s="12"/>
      <c r="D199" s="12"/>
      <c r="E199" s="12"/>
    </row>
    <row r="200">
      <c r="B200" s="38"/>
      <c r="C200" s="12"/>
      <c r="D200" s="12"/>
      <c r="E200" s="12"/>
    </row>
    <row r="201">
      <c r="B201" s="38"/>
      <c r="C201" s="12"/>
      <c r="D201" s="12"/>
      <c r="E201" s="12"/>
    </row>
    <row r="202">
      <c r="B202" s="38"/>
      <c r="C202" s="12"/>
      <c r="D202" s="12"/>
      <c r="E202" s="12"/>
    </row>
    <row r="203">
      <c r="B203" s="38"/>
      <c r="C203" s="12"/>
      <c r="D203" s="12"/>
      <c r="E203" s="12"/>
    </row>
    <row r="204">
      <c r="B204" s="38"/>
      <c r="C204" s="12"/>
      <c r="D204" s="12"/>
      <c r="E204" s="12"/>
    </row>
    <row r="205">
      <c r="B205" s="38"/>
      <c r="C205" s="12"/>
      <c r="D205" s="12"/>
      <c r="E205" s="12"/>
    </row>
    <row r="206">
      <c r="B206" s="38"/>
      <c r="C206" s="12"/>
      <c r="D206" s="12"/>
      <c r="E206" s="12"/>
    </row>
    <row r="207">
      <c r="B207" s="38"/>
      <c r="C207" s="12"/>
      <c r="D207" s="12"/>
      <c r="E207" s="12"/>
    </row>
    <row r="208">
      <c r="B208" s="38"/>
      <c r="C208" s="12"/>
      <c r="D208" s="12"/>
      <c r="E208" s="12"/>
    </row>
    <row r="209">
      <c r="B209" s="38"/>
      <c r="C209" s="12"/>
      <c r="D209" s="12"/>
      <c r="E209" s="12"/>
    </row>
    <row r="210">
      <c r="B210" s="38"/>
      <c r="C210" s="12"/>
      <c r="D210" s="12"/>
      <c r="E210" s="12"/>
    </row>
    <row r="211">
      <c r="B211" s="38"/>
      <c r="C211" s="12"/>
      <c r="D211" s="12"/>
      <c r="E211" s="12"/>
    </row>
    <row r="212">
      <c r="B212" s="38"/>
      <c r="C212" s="12"/>
      <c r="D212" s="12"/>
      <c r="E212" s="12"/>
    </row>
    <row r="213">
      <c r="B213" s="38"/>
      <c r="C213" s="12"/>
      <c r="D213" s="12"/>
      <c r="E213" s="12"/>
    </row>
    <row r="214">
      <c r="B214" s="38"/>
      <c r="C214" s="12"/>
      <c r="D214" s="12"/>
      <c r="E214" s="12"/>
    </row>
    <row r="215">
      <c r="B215" s="38"/>
      <c r="C215" s="12"/>
      <c r="D215" s="12"/>
      <c r="E215" s="12"/>
    </row>
    <row r="216">
      <c r="B216" s="38"/>
      <c r="C216" s="12"/>
      <c r="D216" s="12"/>
      <c r="E216" s="12"/>
    </row>
    <row r="217">
      <c r="B217" s="38"/>
      <c r="C217" s="12"/>
      <c r="D217" s="12"/>
      <c r="E217" s="12"/>
    </row>
    <row r="218">
      <c r="B218" s="38"/>
      <c r="C218" s="12"/>
      <c r="D218" s="12"/>
      <c r="E218" s="12"/>
    </row>
    <row r="219">
      <c r="B219" s="38"/>
      <c r="C219" s="12"/>
      <c r="D219" s="12"/>
      <c r="E219" s="12"/>
    </row>
    <row r="220">
      <c r="B220" s="38"/>
      <c r="C220" s="12"/>
      <c r="D220" s="12"/>
      <c r="E220" s="12"/>
    </row>
    <row r="221">
      <c r="B221" s="38"/>
      <c r="C221" s="12"/>
      <c r="D221" s="12"/>
      <c r="E221" s="12"/>
    </row>
    <row r="222">
      <c r="B222" s="38"/>
      <c r="C222" s="12"/>
      <c r="D222" s="12"/>
      <c r="E222" s="12"/>
    </row>
    <row r="223">
      <c r="B223" s="38"/>
      <c r="C223" s="12"/>
      <c r="D223" s="12"/>
      <c r="E223" s="12"/>
    </row>
    <row r="224">
      <c r="B224" s="38"/>
      <c r="C224" s="12"/>
      <c r="D224" s="12"/>
      <c r="E224" s="12"/>
    </row>
    <row r="225">
      <c r="B225" s="38"/>
      <c r="C225" s="12"/>
      <c r="D225" s="12"/>
      <c r="E225" s="12"/>
    </row>
    <row r="226">
      <c r="B226" s="38"/>
      <c r="C226" s="12"/>
      <c r="D226" s="12"/>
      <c r="E226" s="12"/>
    </row>
    <row r="227">
      <c r="B227" s="38"/>
      <c r="C227" s="12"/>
      <c r="D227" s="12"/>
      <c r="E227" s="12"/>
    </row>
    <row r="228">
      <c r="B228" s="38"/>
      <c r="C228" s="12"/>
      <c r="D228" s="12"/>
      <c r="E228" s="12"/>
    </row>
    <row r="229">
      <c r="B229" s="38"/>
      <c r="C229" s="12"/>
      <c r="D229" s="12"/>
      <c r="E229" s="12"/>
    </row>
    <row r="230">
      <c r="B230" s="38"/>
      <c r="C230" s="12"/>
      <c r="D230" s="12"/>
      <c r="E230" s="12"/>
    </row>
    <row r="231">
      <c r="B231" s="38"/>
      <c r="C231" s="12"/>
      <c r="D231" s="12"/>
      <c r="E231" s="12"/>
    </row>
    <row r="232">
      <c r="B232" s="38"/>
      <c r="C232" s="12"/>
      <c r="D232" s="12"/>
      <c r="E232" s="12"/>
    </row>
    <row r="233">
      <c r="B233" s="38"/>
      <c r="C233" s="12"/>
      <c r="D233" s="12"/>
      <c r="E233" s="12"/>
    </row>
    <row r="234">
      <c r="B234" s="38"/>
      <c r="C234" s="12"/>
      <c r="D234" s="12"/>
      <c r="E234" s="12"/>
    </row>
    <row r="235">
      <c r="B235" s="38"/>
      <c r="C235" s="12"/>
      <c r="D235" s="12"/>
      <c r="E235" s="12"/>
    </row>
    <row r="236">
      <c r="B236" s="38"/>
      <c r="C236" s="12"/>
      <c r="D236" s="12"/>
      <c r="E236" s="12"/>
    </row>
    <row r="237">
      <c r="B237" s="38"/>
      <c r="C237" s="12"/>
      <c r="D237" s="12"/>
      <c r="E237" s="12"/>
    </row>
    <row r="238">
      <c r="B238" s="38"/>
      <c r="C238" s="12"/>
      <c r="D238" s="12"/>
      <c r="E238" s="12"/>
    </row>
    <row r="239">
      <c r="B239" s="38"/>
      <c r="C239" s="12"/>
      <c r="D239" s="12"/>
      <c r="E239" s="12"/>
    </row>
    <row r="240">
      <c r="B240" s="38"/>
      <c r="C240" s="12"/>
      <c r="D240" s="12"/>
      <c r="E240" s="12"/>
    </row>
    <row r="241">
      <c r="B241" s="38"/>
      <c r="C241" s="12"/>
      <c r="D241" s="12"/>
      <c r="E241" s="12"/>
    </row>
    <row r="242">
      <c r="B242" s="38"/>
      <c r="C242" s="12"/>
      <c r="D242" s="12"/>
      <c r="E242" s="12"/>
    </row>
    <row r="243">
      <c r="B243" s="38"/>
      <c r="C243" s="12"/>
      <c r="D243" s="12"/>
      <c r="E243" s="12"/>
    </row>
    <row r="244">
      <c r="B244" s="38"/>
      <c r="C244" s="12"/>
      <c r="D244" s="12"/>
      <c r="E244" s="12"/>
    </row>
    <row r="245">
      <c r="B245" s="38"/>
      <c r="C245" s="12"/>
      <c r="D245" s="12"/>
      <c r="E245" s="12"/>
    </row>
    <row r="246">
      <c r="B246" s="38"/>
      <c r="C246" s="12"/>
      <c r="D246" s="12"/>
      <c r="E246" s="12"/>
    </row>
    <row r="247">
      <c r="B247" s="38"/>
      <c r="C247" s="12"/>
      <c r="D247" s="12"/>
      <c r="E247" s="12"/>
    </row>
    <row r="248">
      <c r="B248" s="38"/>
      <c r="C248" s="12"/>
      <c r="D248" s="12"/>
      <c r="E248" s="12"/>
    </row>
    <row r="249">
      <c r="B249" s="38"/>
      <c r="C249" s="12"/>
      <c r="D249" s="12"/>
      <c r="E249" s="12"/>
    </row>
    <row r="250">
      <c r="B250" s="38"/>
      <c r="C250" s="12"/>
      <c r="D250" s="12"/>
      <c r="E250" s="12"/>
    </row>
    <row r="251">
      <c r="B251" s="38"/>
      <c r="C251" s="12"/>
      <c r="D251" s="12"/>
      <c r="E251" s="12"/>
    </row>
    <row r="252">
      <c r="B252" s="38"/>
      <c r="C252" s="12"/>
      <c r="D252" s="12"/>
      <c r="E252" s="12"/>
    </row>
    <row r="253">
      <c r="B253" s="38"/>
      <c r="C253" s="12"/>
      <c r="D253" s="12"/>
      <c r="E253" s="12"/>
    </row>
    <row r="254">
      <c r="B254" s="38"/>
      <c r="C254" s="12"/>
      <c r="D254" s="12"/>
      <c r="E254" s="12"/>
    </row>
    <row r="255">
      <c r="B255" s="38"/>
      <c r="C255" s="12"/>
      <c r="D255" s="12"/>
      <c r="E255" s="12"/>
    </row>
    <row r="256">
      <c r="B256" s="38"/>
      <c r="C256" s="12"/>
      <c r="D256" s="12"/>
      <c r="E256" s="12"/>
    </row>
    <row r="257">
      <c r="B257" s="38"/>
      <c r="C257" s="12"/>
      <c r="D257" s="12"/>
      <c r="E257" s="12"/>
    </row>
    <row r="258">
      <c r="B258" s="38"/>
      <c r="C258" s="12"/>
      <c r="D258" s="12"/>
      <c r="E258" s="12"/>
    </row>
    <row r="259">
      <c r="B259" s="38"/>
      <c r="C259" s="12"/>
      <c r="D259" s="12"/>
      <c r="E259" s="12"/>
    </row>
    <row r="260">
      <c r="B260" s="38"/>
      <c r="C260" s="12"/>
      <c r="D260" s="12"/>
      <c r="E260" s="12"/>
    </row>
    <row r="261">
      <c r="B261" s="38"/>
      <c r="C261" s="12"/>
      <c r="D261" s="12"/>
      <c r="E261" s="12"/>
    </row>
    <row r="262">
      <c r="B262" s="38"/>
      <c r="C262" s="12"/>
      <c r="D262" s="12"/>
      <c r="E262" s="12"/>
    </row>
    <row r="263">
      <c r="B263" s="38"/>
      <c r="C263" s="12"/>
      <c r="D263" s="12"/>
      <c r="E263" s="12"/>
    </row>
    <row r="264">
      <c r="B264" s="38"/>
      <c r="C264" s="12"/>
      <c r="D264" s="12"/>
      <c r="E264" s="12"/>
    </row>
    <row r="265">
      <c r="B265" s="38"/>
      <c r="C265" s="12"/>
      <c r="D265" s="12"/>
      <c r="E265" s="12"/>
    </row>
    <row r="266">
      <c r="B266" s="38"/>
      <c r="C266" s="12"/>
      <c r="D266" s="12"/>
      <c r="E266" s="12"/>
    </row>
    <row r="267">
      <c r="B267" s="38"/>
      <c r="C267" s="12"/>
      <c r="D267" s="12"/>
      <c r="E267" s="12"/>
    </row>
    <row r="268">
      <c r="B268" s="38"/>
      <c r="C268" s="12"/>
      <c r="D268" s="12"/>
      <c r="E268" s="12"/>
    </row>
    <row r="269">
      <c r="B269" s="38"/>
      <c r="C269" s="12"/>
      <c r="D269" s="12"/>
      <c r="E269" s="12"/>
    </row>
    <row r="270">
      <c r="B270" s="38"/>
      <c r="C270" s="12"/>
      <c r="D270" s="12"/>
      <c r="E270" s="12"/>
    </row>
    <row r="271">
      <c r="B271" s="38"/>
      <c r="C271" s="12"/>
      <c r="D271" s="12"/>
      <c r="E271" s="12"/>
    </row>
    <row r="272">
      <c r="B272" s="38"/>
      <c r="C272" s="12"/>
      <c r="D272" s="12"/>
      <c r="E272" s="12"/>
    </row>
    <row r="273">
      <c r="B273" s="38"/>
      <c r="C273" s="12"/>
      <c r="D273" s="12"/>
      <c r="E273" s="12"/>
    </row>
    <row r="274">
      <c r="B274" s="38"/>
      <c r="C274" s="12"/>
      <c r="D274" s="12"/>
      <c r="E274" s="12"/>
    </row>
    <row r="275">
      <c r="B275" s="38"/>
      <c r="C275" s="12"/>
      <c r="D275" s="12"/>
      <c r="E275" s="12"/>
    </row>
    <row r="276">
      <c r="B276" s="38"/>
      <c r="C276" s="12"/>
      <c r="D276" s="12"/>
      <c r="E276" s="12"/>
    </row>
    <row r="277">
      <c r="B277" s="38"/>
      <c r="C277" s="12"/>
      <c r="D277" s="12"/>
      <c r="E277" s="12"/>
    </row>
    <row r="278">
      <c r="B278" s="38"/>
      <c r="C278" s="12"/>
      <c r="D278" s="12"/>
      <c r="E278" s="12"/>
    </row>
    <row r="279">
      <c r="B279" s="38"/>
      <c r="C279" s="12"/>
      <c r="D279" s="12"/>
      <c r="E279" s="12"/>
    </row>
    <row r="280">
      <c r="B280" s="38"/>
      <c r="C280" s="12"/>
      <c r="D280" s="12"/>
      <c r="E280" s="12"/>
    </row>
    <row r="281">
      <c r="B281" s="38"/>
      <c r="C281" s="12"/>
      <c r="D281" s="12"/>
      <c r="E281" s="12"/>
    </row>
    <row r="282">
      <c r="B282" s="38"/>
      <c r="C282" s="12"/>
      <c r="D282" s="12"/>
      <c r="E282" s="12"/>
    </row>
    <row r="283">
      <c r="B283" s="38"/>
      <c r="C283" s="12"/>
      <c r="D283" s="12"/>
      <c r="E283" s="12"/>
    </row>
    <row r="284">
      <c r="B284" s="38"/>
      <c r="C284" s="12"/>
      <c r="D284" s="12"/>
      <c r="E284" s="12"/>
    </row>
    <row r="285">
      <c r="B285" s="38"/>
      <c r="C285" s="12"/>
      <c r="D285" s="12"/>
      <c r="E285" s="12"/>
    </row>
    <row r="286">
      <c r="B286" s="38"/>
      <c r="C286" s="12"/>
      <c r="D286" s="12"/>
      <c r="E286" s="12"/>
    </row>
    <row r="287">
      <c r="B287" s="38"/>
      <c r="C287" s="12"/>
      <c r="D287" s="12"/>
      <c r="E287" s="12"/>
    </row>
    <row r="288">
      <c r="B288" s="38"/>
      <c r="C288" s="12"/>
      <c r="D288" s="12"/>
      <c r="E288" s="12"/>
    </row>
    <row r="289">
      <c r="B289" s="38"/>
      <c r="C289" s="12"/>
      <c r="D289" s="12"/>
      <c r="E289" s="12"/>
    </row>
    <row r="290">
      <c r="B290" s="38"/>
      <c r="C290" s="12"/>
      <c r="D290" s="12"/>
      <c r="E290" s="12"/>
    </row>
    <row r="291">
      <c r="B291" s="38"/>
      <c r="C291" s="12"/>
      <c r="D291" s="12"/>
      <c r="E291" s="12"/>
    </row>
    <row r="292">
      <c r="B292" s="38"/>
      <c r="C292" s="12"/>
      <c r="D292" s="12"/>
      <c r="E292" s="12"/>
    </row>
    <row r="293">
      <c r="B293" s="38"/>
      <c r="C293" s="12"/>
      <c r="D293" s="12"/>
      <c r="E293" s="12"/>
    </row>
    <row r="294">
      <c r="B294" s="38"/>
      <c r="C294" s="12"/>
      <c r="D294" s="12"/>
      <c r="E294" s="12"/>
    </row>
    <row r="295">
      <c r="B295" s="38"/>
      <c r="C295" s="12"/>
      <c r="D295" s="12"/>
      <c r="E295" s="12"/>
    </row>
    <row r="296">
      <c r="B296" s="38"/>
      <c r="C296" s="12"/>
      <c r="D296" s="12"/>
      <c r="E296" s="12"/>
    </row>
    <row r="297">
      <c r="B297" s="38"/>
      <c r="C297" s="12"/>
      <c r="D297" s="12"/>
      <c r="E297" s="12"/>
    </row>
    <row r="298">
      <c r="B298" s="38"/>
      <c r="C298" s="12"/>
      <c r="D298" s="12"/>
      <c r="E298" s="12"/>
    </row>
    <row r="299">
      <c r="B299" s="38"/>
      <c r="C299" s="12"/>
      <c r="D299" s="12"/>
      <c r="E299" s="12"/>
    </row>
    <row r="300">
      <c r="B300" s="38"/>
      <c r="C300" s="12"/>
      <c r="D300" s="12"/>
      <c r="E300" s="12"/>
    </row>
    <row r="301">
      <c r="B301" s="38"/>
      <c r="C301" s="12"/>
      <c r="D301" s="12"/>
      <c r="E301" s="12"/>
    </row>
    <row r="302">
      <c r="B302" s="38"/>
      <c r="C302" s="12"/>
      <c r="D302" s="12"/>
      <c r="E302" s="12"/>
    </row>
    <row r="303">
      <c r="B303" s="38"/>
      <c r="C303" s="12"/>
      <c r="D303" s="12"/>
      <c r="E303" s="12"/>
    </row>
    <row r="304">
      <c r="B304" s="38"/>
      <c r="C304" s="12"/>
      <c r="D304" s="12"/>
      <c r="E304" s="12"/>
    </row>
    <row r="305">
      <c r="B305" s="38"/>
      <c r="C305" s="12"/>
      <c r="D305" s="12"/>
      <c r="E305" s="12"/>
    </row>
    <row r="306">
      <c r="B306" s="38"/>
      <c r="C306" s="12"/>
      <c r="D306" s="12"/>
      <c r="E306" s="12"/>
    </row>
    <row r="307">
      <c r="B307" s="38"/>
      <c r="C307" s="12"/>
      <c r="D307" s="12"/>
      <c r="E307" s="12"/>
    </row>
    <row r="308">
      <c r="B308" s="38"/>
      <c r="C308" s="12"/>
      <c r="D308" s="12"/>
      <c r="E308" s="12"/>
    </row>
    <row r="309">
      <c r="B309" s="38"/>
      <c r="C309" s="12"/>
      <c r="D309" s="12"/>
      <c r="E309" s="12"/>
    </row>
    <row r="310">
      <c r="B310" s="38"/>
      <c r="C310" s="12"/>
      <c r="D310" s="12"/>
      <c r="E310" s="12"/>
    </row>
    <row r="311">
      <c r="B311" s="38"/>
      <c r="C311" s="12"/>
      <c r="D311" s="12"/>
      <c r="E311" s="12"/>
    </row>
    <row r="312">
      <c r="B312" s="38"/>
      <c r="C312" s="12"/>
      <c r="D312" s="12"/>
      <c r="E312" s="12"/>
    </row>
    <row r="313">
      <c r="B313" s="38"/>
      <c r="C313" s="12"/>
      <c r="D313" s="12"/>
      <c r="E313" s="12"/>
    </row>
    <row r="314">
      <c r="B314" s="38"/>
      <c r="C314" s="12"/>
      <c r="D314" s="12"/>
      <c r="E314" s="12"/>
    </row>
    <row r="315">
      <c r="B315" s="38"/>
      <c r="C315" s="12"/>
      <c r="D315" s="12"/>
      <c r="E315" s="12"/>
    </row>
    <row r="316">
      <c r="B316" s="38"/>
      <c r="C316" s="12"/>
      <c r="D316" s="12"/>
      <c r="E316" s="12"/>
    </row>
    <row r="317">
      <c r="B317" s="38"/>
      <c r="C317" s="12"/>
      <c r="D317" s="12"/>
      <c r="E317" s="12"/>
    </row>
    <row r="318">
      <c r="B318" s="38"/>
      <c r="C318" s="12"/>
      <c r="D318" s="12"/>
      <c r="E318" s="12"/>
    </row>
    <row r="319">
      <c r="B319" s="38"/>
      <c r="C319" s="12"/>
      <c r="D319" s="12"/>
      <c r="E319" s="12"/>
    </row>
    <row r="320">
      <c r="B320" s="38"/>
      <c r="C320" s="12"/>
      <c r="D320" s="12"/>
      <c r="E320" s="12"/>
    </row>
    <row r="321">
      <c r="B321" s="38"/>
      <c r="C321" s="12"/>
      <c r="D321" s="12"/>
      <c r="E321" s="12"/>
    </row>
    <row r="322">
      <c r="B322" s="38"/>
      <c r="C322" s="12"/>
      <c r="D322" s="12"/>
      <c r="E322" s="12"/>
    </row>
    <row r="323">
      <c r="B323" s="38"/>
      <c r="C323" s="12"/>
      <c r="D323" s="12"/>
      <c r="E323" s="12"/>
    </row>
    <row r="324">
      <c r="B324" s="38"/>
      <c r="C324" s="12"/>
      <c r="D324" s="12"/>
      <c r="E324" s="12"/>
    </row>
    <row r="325">
      <c r="B325" s="38"/>
      <c r="C325" s="12"/>
      <c r="D325" s="12"/>
      <c r="E325" s="12"/>
    </row>
    <row r="326">
      <c r="B326" s="38"/>
      <c r="C326" s="12"/>
      <c r="D326" s="12"/>
      <c r="E326" s="12"/>
    </row>
    <row r="327">
      <c r="B327" s="38"/>
      <c r="C327" s="12"/>
      <c r="D327" s="12"/>
      <c r="E327" s="12"/>
    </row>
    <row r="328">
      <c r="B328" s="38"/>
      <c r="C328" s="12"/>
      <c r="D328" s="12"/>
      <c r="E328" s="12"/>
    </row>
    <row r="329">
      <c r="B329" s="38"/>
      <c r="C329" s="12"/>
      <c r="D329" s="12"/>
      <c r="E329" s="12"/>
    </row>
    <row r="330">
      <c r="B330" s="38"/>
      <c r="C330" s="12"/>
      <c r="D330" s="12"/>
      <c r="E330" s="12"/>
    </row>
    <row r="331">
      <c r="B331" s="38"/>
      <c r="C331" s="12"/>
      <c r="D331" s="12"/>
      <c r="E331" s="12"/>
    </row>
    <row r="332">
      <c r="B332" s="38"/>
      <c r="C332" s="12"/>
      <c r="D332" s="12"/>
      <c r="E332" s="12"/>
    </row>
    <row r="333">
      <c r="B333" s="38"/>
      <c r="C333" s="12"/>
      <c r="D333" s="12"/>
      <c r="E333" s="12"/>
    </row>
    <row r="334">
      <c r="B334" s="38"/>
      <c r="C334" s="12"/>
      <c r="D334" s="12"/>
      <c r="E334" s="12"/>
    </row>
    <row r="335">
      <c r="B335" s="38"/>
      <c r="C335" s="12"/>
      <c r="D335" s="12"/>
      <c r="E335" s="12"/>
    </row>
    <row r="336">
      <c r="B336" s="38"/>
      <c r="C336" s="12"/>
      <c r="D336" s="12"/>
      <c r="E336" s="12"/>
    </row>
    <row r="337">
      <c r="B337" s="38"/>
      <c r="C337" s="12"/>
      <c r="D337" s="12"/>
      <c r="E337" s="12"/>
    </row>
    <row r="338">
      <c r="B338" s="38"/>
      <c r="C338" s="12"/>
      <c r="D338" s="12"/>
      <c r="E338" s="12"/>
    </row>
    <row r="339">
      <c r="B339" s="38"/>
      <c r="C339" s="12"/>
      <c r="D339" s="12"/>
      <c r="E339" s="12"/>
    </row>
    <row r="340">
      <c r="B340" s="38"/>
      <c r="C340" s="12"/>
      <c r="D340" s="12"/>
      <c r="E340" s="12"/>
    </row>
    <row r="341">
      <c r="B341" s="38"/>
      <c r="C341" s="12"/>
      <c r="D341" s="12"/>
      <c r="E341" s="12"/>
    </row>
    <row r="342">
      <c r="B342" s="38"/>
      <c r="C342" s="12"/>
      <c r="D342" s="12"/>
      <c r="E342" s="12"/>
    </row>
    <row r="343">
      <c r="B343" s="38"/>
      <c r="C343" s="12"/>
      <c r="D343" s="12"/>
      <c r="E343" s="12"/>
    </row>
    <row r="344">
      <c r="B344" s="38"/>
      <c r="C344" s="12"/>
      <c r="D344" s="12"/>
      <c r="E344" s="12"/>
    </row>
    <row r="345">
      <c r="B345" s="38"/>
      <c r="C345" s="12"/>
      <c r="D345" s="12"/>
      <c r="E345" s="12"/>
    </row>
    <row r="346">
      <c r="B346" s="38"/>
      <c r="C346" s="12"/>
      <c r="D346" s="12"/>
      <c r="E346" s="12"/>
    </row>
    <row r="347">
      <c r="B347" s="38"/>
      <c r="C347" s="12"/>
      <c r="D347" s="12"/>
      <c r="E347" s="12"/>
    </row>
    <row r="348">
      <c r="B348" s="38"/>
      <c r="C348" s="12"/>
      <c r="D348" s="12"/>
      <c r="E348" s="12"/>
    </row>
    <row r="349">
      <c r="B349" s="38"/>
      <c r="C349" s="12"/>
      <c r="D349" s="12"/>
      <c r="E349" s="12"/>
    </row>
    <row r="350">
      <c r="B350" s="38"/>
      <c r="C350" s="12"/>
      <c r="D350" s="12"/>
      <c r="E350" s="12"/>
    </row>
    <row r="351">
      <c r="B351" s="38"/>
      <c r="C351" s="12"/>
      <c r="D351" s="12"/>
      <c r="E351" s="12"/>
    </row>
    <row r="352">
      <c r="B352" s="38"/>
      <c r="C352" s="12"/>
      <c r="D352" s="12"/>
      <c r="E352" s="12"/>
    </row>
    <row r="353">
      <c r="B353" s="38"/>
      <c r="C353" s="12"/>
      <c r="D353" s="12"/>
      <c r="E353" s="12"/>
    </row>
    <row r="354">
      <c r="B354" s="38"/>
      <c r="C354" s="12"/>
      <c r="D354" s="12"/>
      <c r="E354" s="12"/>
    </row>
    <row r="355">
      <c r="B355" s="38"/>
      <c r="C355" s="12"/>
      <c r="D355" s="12"/>
      <c r="E355" s="12"/>
    </row>
    <row r="356">
      <c r="B356" s="38"/>
      <c r="C356" s="12"/>
      <c r="D356" s="12"/>
      <c r="E356" s="12"/>
    </row>
    <row r="357">
      <c r="B357" s="38"/>
      <c r="C357" s="12"/>
      <c r="D357" s="12"/>
      <c r="E357" s="12"/>
    </row>
    <row r="358">
      <c r="B358" s="38"/>
      <c r="C358" s="12"/>
      <c r="D358" s="12"/>
      <c r="E358" s="12"/>
    </row>
    <row r="359">
      <c r="B359" s="38"/>
      <c r="C359" s="12"/>
      <c r="D359" s="12"/>
      <c r="E359" s="12"/>
    </row>
    <row r="360">
      <c r="B360" s="38"/>
      <c r="C360" s="12"/>
      <c r="D360" s="12"/>
      <c r="E360" s="12"/>
    </row>
    <row r="361">
      <c r="B361" s="38"/>
      <c r="C361" s="12"/>
      <c r="D361" s="12"/>
      <c r="E361" s="12"/>
    </row>
    <row r="362">
      <c r="B362" s="38"/>
      <c r="C362" s="12"/>
      <c r="D362" s="12"/>
      <c r="E362" s="12"/>
    </row>
    <row r="363">
      <c r="B363" s="38"/>
      <c r="C363" s="12"/>
      <c r="D363" s="12"/>
      <c r="E363" s="12"/>
    </row>
    <row r="364">
      <c r="B364" s="38"/>
      <c r="C364" s="12"/>
      <c r="D364" s="12"/>
      <c r="E364" s="12"/>
    </row>
    <row r="365">
      <c r="B365" s="38"/>
      <c r="C365" s="12"/>
      <c r="D365" s="12"/>
      <c r="E365" s="12"/>
    </row>
    <row r="366">
      <c r="B366" s="38"/>
      <c r="C366" s="12"/>
      <c r="D366" s="12"/>
      <c r="E366" s="12"/>
    </row>
    <row r="367">
      <c r="B367" s="38"/>
      <c r="C367" s="12"/>
      <c r="D367" s="12"/>
      <c r="E367" s="12"/>
    </row>
    <row r="368">
      <c r="B368" s="38"/>
      <c r="C368" s="12"/>
      <c r="D368" s="12"/>
      <c r="E368" s="12"/>
    </row>
    <row r="369">
      <c r="B369" s="38"/>
      <c r="C369" s="12"/>
      <c r="D369" s="12"/>
      <c r="E369" s="12"/>
    </row>
    <row r="370">
      <c r="B370" s="38"/>
      <c r="C370" s="12"/>
      <c r="D370" s="12"/>
      <c r="E370" s="12"/>
    </row>
    <row r="371">
      <c r="B371" s="38"/>
      <c r="C371" s="12"/>
      <c r="D371" s="12"/>
      <c r="E371" s="12"/>
    </row>
    <row r="372">
      <c r="B372" s="38"/>
      <c r="C372" s="12"/>
      <c r="D372" s="12"/>
      <c r="E372" s="12"/>
    </row>
    <row r="373">
      <c r="B373" s="38"/>
      <c r="C373" s="12"/>
      <c r="D373" s="12"/>
      <c r="E373" s="12"/>
    </row>
    <row r="374">
      <c r="B374" s="38"/>
      <c r="C374" s="12"/>
      <c r="D374" s="12"/>
      <c r="E374" s="12"/>
    </row>
    <row r="375">
      <c r="B375" s="38"/>
      <c r="C375" s="12"/>
      <c r="D375" s="12"/>
      <c r="E375" s="12"/>
    </row>
    <row r="376">
      <c r="B376" s="38"/>
      <c r="C376" s="12"/>
      <c r="D376" s="12"/>
      <c r="E376" s="12"/>
    </row>
    <row r="377">
      <c r="B377" s="38"/>
      <c r="C377" s="12"/>
      <c r="D377" s="12"/>
      <c r="E377" s="12"/>
    </row>
    <row r="378">
      <c r="B378" s="38"/>
      <c r="C378" s="12"/>
      <c r="D378" s="12"/>
      <c r="E378" s="12"/>
    </row>
    <row r="379">
      <c r="B379" s="38"/>
      <c r="C379" s="12"/>
      <c r="D379" s="12"/>
      <c r="E379" s="12"/>
    </row>
    <row r="380">
      <c r="B380" s="38"/>
      <c r="C380" s="12"/>
      <c r="D380" s="12"/>
      <c r="E380" s="12"/>
    </row>
    <row r="381">
      <c r="B381" s="38"/>
      <c r="C381" s="12"/>
      <c r="D381" s="12"/>
      <c r="E381" s="12"/>
    </row>
    <row r="382">
      <c r="B382" s="38"/>
      <c r="C382" s="12"/>
      <c r="D382" s="12"/>
      <c r="E382" s="12"/>
    </row>
    <row r="383">
      <c r="B383" s="38"/>
      <c r="C383" s="12"/>
      <c r="D383" s="12"/>
      <c r="E383" s="12"/>
    </row>
    <row r="384">
      <c r="B384" s="38"/>
      <c r="C384" s="12"/>
      <c r="D384" s="12"/>
      <c r="E384" s="12"/>
    </row>
    <row r="385">
      <c r="B385" s="38"/>
      <c r="C385" s="12"/>
      <c r="D385" s="12"/>
      <c r="E385" s="12"/>
    </row>
    <row r="386">
      <c r="B386" s="38"/>
      <c r="C386" s="12"/>
      <c r="D386" s="12"/>
      <c r="E386" s="12"/>
    </row>
    <row r="387">
      <c r="B387" s="38"/>
      <c r="C387" s="12"/>
      <c r="D387" s="12"/>
      <c r="E387" s="12"/>
    </row>
    <row r="388">
      <c r="B388" s="38"/>
      <c r="C388" s="12"/>
      <c r="D388" s="12"/>
      <c r="E388" s="12"/>
    </row>
    <row r="389">
      <c r="B389" s="38"/>
      <c r="C389" s="12"/>
      <c r="D389" s="12"/>
      <c r="E389" s="12"/>
    </row>
    <row r="390">
      <c r="B390" s="38"/>
      <c r="C390" s="12"/>
      <c r="D390" s="12"/>
      <c r="E390" s="12"/>
    </row>
    <row r="391">
      <c r="B391" s="38"/>
      <c r="C391" s="12"/>
      <c r="D391" s="12"/>
      <c r="E391" s="12"/>
    </row>
    <row r="392">
      <c r="B392" s="38"/>
      <c r="C392" s="12"/>
      <c r="D392" s="12"/>
      <c r="E392" s="12"/>
    </row>
    <row r="393">
      <c r="B393" s="38"/>
      <c r="C393" s="12"/>
      <c r="D393" s="12"/>
      <c r="E393" s="12"/>
    </row>
    <row r="394">
      <c r="B394" s="38"/>
      <c r="C394" s="12"/>
      <c r="D394" s="12"/>
      <c r="E394" s="12"/>
    </row>
    <row r="395">
      <c r="B395" s="38"/>
      <c r="C395" s="12"/>
      <c r="D395" s="12"/>
      <c r="E395" s="12"/>
    </row>
    <row r="396">
      <c r="B396" s="38"/>
      <c r="C396" s="12"/>
      <c r="D396" s="12"/>
      <c r="E396" s="12"/>
    </row>
    <row r="397">
      <c r="B397" s="38"/>
      <c r="C397" s="12"/>
      <c r="D397" s="12"/>
      <c r="E397" s="12"/>
    </row>
    <row r="398">
      <c r="B398" s="38"/>
      <c r="C398" s="12"/>
      <c r="D398" s="12"/>
      <c r="E398" s="12"/>
    </row>
    <row r="399">
      <c r="B399" s="38"/>
      <c r="C399" s="12"/>
      <c r="D399" s="12"/>
      <c r="E399" s="12"/>
    </row>
    <row r="400">
      <c r="B400" s="38"/>
      <c r="C400" s="12"/>
      <c r="D400" s="12"/>
      <c r="E400" s="12"/>
    </row>
    <row r="401">
      <c r="B401" s="38"/>
      <c r="C401" s="12"/>
      <c r="D401" s="12"/>
      <c r="E401" s="12"/>
    </row>
    <row r="402">
      <c r="B402" s="38"/>
      <c r="C402" s="12"/>
      <c r="D402" s="12"/>
      <c r="E402" s="12"/>
    </row>
    <row r="403">
      <c r="B403" s="38"/>
      <c r="C403" s="12"/>
      <c r="D403" s="12"/>
      <c r="E403" s="12"/>
    </row>
    <row r="404">
      <c r="B404" s="38"/>
      <c r="C404" s="12"/>
      <c r="D404" s="12"/>
      <c r="E404" s="12"/>
    </row>
    <row r="405">
      <c r="B405" s="38"/>
      <c r="C405" s="12"/>
      <c r="D405" s="12"/>
      <c r="E405" s="12"/>
    </row>
    <row r="406">
      <c r="B406" s="38"/>
      <c r="C406" s="12"/>
      <c r="D406" s="12"/>
      <c r="E406" s="12"/>
    </row>
    <row r="407">
      <c r="B407" s="38"/>
      <c r="C407" s="12"/>
      <c r="D407" s="12"/>
      <c r="E407" s="12"/>
    </row>
    <row r="408">
      <c r="B408" s="38"/>
      <c r="C408" s="12"/>
      <c r="D408" s="12"/>
      <c r="E408" s="12"/>
    </row>
    <row r="409">
      <c r="B409" s="38"/>
      <c r="C409" s="12"/>
      <c r="D409" s="12"/>
      <c r="E409" s="12"/>
    </row>
    <row r="410">
      <c r="B410" s="38"/>
      <c r="C410" s="12"/>
      <c r="D410" s="12"/>
      <c r="E410" s="12"/>
    </row>
    <row r="411">
      <c r="B411" s="38"/>
      <c r="C411" s="12"/>
      <c r="D411" s="12"/>
      <c r="E411" s="12"/>
    </row>
    <row r="412">
      <c r="B412" s="38"/>
      <c r="C412" s="12"/>
      <c r="D412" s="12"/>
      <c r="E412" s="12"/>
    </row>
    <row r="413">
      <c r="B413" s="38"/>
      <c r="C413" s="12"/>
      <c r="D413" s="12"/>
      <c r="E413" s="12"/>
    </row>
    <row r="414">
      <c r="B414" s="38"/>
      <c r="C414" s="12"/>
      <c r="D414" s="12"/>
      <c r="E414" s="12"/>
    </row>
    <row r="415">
      <c r="B415" s="38"/>
      <c r="C415" s="12"/>
      <c r="D415" s="12"/>
      <c r="E415" s="12"/>
    </row>
    <row r="416">
      <c r="B416" s="38"/>
      <c r="C416" s="12"/>
      <c r="D416" s="12"/>
      <c r="E416" s="12"/>
    </row>
    <row r="417">
      <c r="B417" s="38"/>
      <c r="C417" s="12"/>
      <c r="D417" s="12"/>
      <c r="E417" s="12"/>
    </row>
    <row r="418">
      <c r="B418" s="38"/>
      <c r="C418" s="12"/>
      <c r="D418" s="12"/>
      <c r="E418" s="12"/>
    </row>
    <row r="419">
      <c r="B419" s="38"/>
      <c r="C419" s="12"/>
      <c r="D419" s="12"/>
      <c r="E419" s="12"/>
    </row>
    <row r="420">
      <c r="B420" s="38"/>
      <c r="C420" s="12"/>
      <c r="D420" s="12"/>
      <c r="E420" s="12"/>
    </row>
    <row r="421">
      <c r="B421" s="38"/>
      <c r="C421" s="12"/>
      <c r="D421" s="12"/>
      <c r="E421" s="12"/>
    </row>
    <row r="422">
      <c r="B422" s="38"/>
      <c r="C422" s="12"/>
      <c r="D422" s="12"/>
      <c r="E422" s="12"/>
    </row>
    <row r="423">
      <c r="B423" s="38"/>
      <c r="C423" s="12"/>
      <c r="D423" s="12"/>
      <c r="E423" s="12"/>
    </row>
    <row r="424">
      <c r="B424" s="38"/>
      <c r="C424" s="12"/>
      <c r="D424" s="12"/>
      <c r="E424" s="12"/>
    </row>
    <row r="425">
      <c r="B425" s="38"/>
      <c r="C425" s="12"/>
      <c r="D425" s="12"/>
      <c r="E425" s="12"/>
    </row>
    <row r="426">
      <c r="B426" s="38"/>
      <c r="C426" s="12"/>
      <c r="D426" s="12"/>
      <c r="E426" s="12"/>
    </row>
    <row r="427">
      <c r="B427" s="38"/>
      <c r="C427" s="12"/>
      <c r="D427" s="12"/>
      <c r="E427" s="12"/>
    </row>
    <row r="428">
      <c r="B428" s="38"/>
      <c r="C428" s="12"/>
      <c r="D428" s="12"/>
      <c r="E428" s="12"/>
    </row>
    <row r="429">
      <c r="B429" s="38"/>
      <c r="C429" s="12"/>
      <c r="D429" s="12"/>
      <c r="E429" s="12"/>
    </row>
    <row r="430">
      <c r="B430" s="38"/>
      <c r="C430" s="12"/>
      <c r="D430" s="12"/>
      <c r="E430" s="12"/>
    </row>
    <row r="431">
      <c r="B431" s="38"/>
      <c r="C431" s="12"/>
      <c r="D431" s="12"/>
      <c r="E431" s="12"/>
    </row>
    <row r="432">
      <c r="B432" s="38"/>
      <c r="C432" s="12"/>
      <c r="D432" s="12"/>
      <c r="E432" s="12"/>
    </row>
    <row r="433">
      <c r="B433" s="38"/>
      <c r="C433" s="12"/>
      <c r="D433" s="12"/>
      <c r="E433" s="12"/>
    </row>
    <row r="434">
      <c r="B434" s="38"/>
      <c r="C434" s="12"/>
      <c r="D434" s="12"/>
      <c r="E434" s="12"/>
    </row>
    <row r="435">
      <c r="B435" s="38"/>
      <c r="C435" s="12"/>
      <c r="D435" s="12"/>
      <c r="E435" s="12"/>
    </row>
    <row r="436">
      <c r="B436" s="38"/>
      <c r="C436" s="12"/>
      <c r="D436" s="12"/>
      <c r="E436" s="12"/>
    </row>
    <row r="437">
      <c r="B437" s="38"/>
      <c r="C437" s="12"/>
      <c r="D437" s="12"/>
      <c r="E437" s="12"/>
    </row>
    <row r="438">
      <c r="B438" s="38"/>
      <c r="C438" s="12"/>
      <c r="D438" s="12"/>
      <c r="E438" s="12"/>
    </row>
    <row r="439">
      <c r="B439" s="38"/>
      <c r="C439" s="12"/>
      <c r="D439" s="12"/>
      <c r="E439" s="12"/>
    </row>
    <row r="440">
      <c r="B440" s="38"/>
      <c r="C440" s="12"/>
      <c r="D440" s="12"/>
      <c r="E440" s="12"/>
    </row>
    <row r="441">
      <c r="B441" s="38"/>
      <c r="C441" s="12"/>
      <c r="D441" s="12"/>
      <c r="E441" s="12"/>
    </row>
    <row r="442">
      <c r="B442" s="38"/>
      <c r="C442" s="12"/>
      <c r="D442" s="12"/>
      <c r="E442" s="12"/>
    </row>
    <row r="443">
      <c r="B443" s="38"/>
      <c r="C443" s="12"/>
      <c r="D443" s="12"/>
      <c r="E443" s="12"/>
    </row>
    <row r="444">
      <c r="B444" s="38"/>
      <c r="C444" s="12"/>
      <c r="D444" s="12"/>
      <c r="E444" s="12"/>
    </row>
    <row r="445">
      <c r="B445" s="38"/>
      <c r="C445" s="12"/>
      <c r="D445" s="12"/>
      <c r="E445" s="12"/>
    </row>
    <row r="446">
      <c r="B446" s="38"/>
      <c r="C446" s="12"/>
      <c r="D446" s="12"/>
      <c r="E446" s="12"/>
    </row>
    <row r="447">
      <c r="B447" s="38"/>
      <c r="C447" s="12"/>
      <c r="D447" s="12"/>
      <c r="E447" s="12"/>
    </row>
    <row r="448">
      <c r="B448" s="38"/>
      <c r="C448" s="12"/>
      <c r="D448" s="12"/>
      <c r="E448" s="12"/>
    </row>
    <row r="449">
      <c r="B449" s="38"/>
      <c r="C449" s="12"/>
      <c r="D449" s="12"/>
      <c r="E449" s="12"/>
    </row>
    <row r="450">
      <c r="B450" s="38"/>
      <c r="C450" s="12"/>
      <c r="D450" s="12"/>
      <c r="E450" s="12"/>
    </row>
    <row r="451">
      <c r="B451" s="38"/>
      <c r="C451" s="12"/>
      <c r="D451" s="12"/>
      <c r="E451" s="12"/>
    </row>
    <row r="452">
      <c r="B452" s="38"/>
      <c r="C452" s="12"/>
      <c r="D452" s="12"/>
      <c r="E452" s="12"/>
    </row>
    <row r="453">
      <c r="B453" s="38"/>
      <c r="C453" s="12"/>
      <c r="D453" s="12"/>
      <c r="E453" s="12"/>
    </row>
    <row r="454">
      <c r="B454" s="38"/>
      <c r="C454" s="12"/>
      <c r="D454" s="12"/>
      <c r="E454" s="12"/>
    </row>
    <row r="455">
      <c r="B455" s="38"/>
      <c r="C455" s="12"/>
      <c r="D455" s="12"/>
      <c r="E455" s="12"/>
    </row>
    <row r="456">
      <c r="B456" s="38"/>
      <c r="C456" s="12"/>
      <c r="D456" s="12"/>
      <c r="E456" s="12"/>
    </row>
    <row r="457">
      <c r="B457" s="38"/>
      <c r="C457" s="12"/>
      <c r="D457" s="12"/>
      <c r="E457" s="12"/>
    </row>
    <row r="458">
      <c r="B458" s="38"/>
      <c r="C458" s="12"/>
      <c r="D458" s="12"/>
      <c r="E458" s="12"/>
    </row>
    <row r="459">
      <c r="B459" s="38"/>
      <c r="C459" s="12"/>
      <c r="D459" s="12"/>
      <c r="E459" s="12"/>
    </row>
    <row r="460">
      <c r="B460" s="38"/>
      <c r="C460" s="12"/>
      <c r="D460" s="12"/>
      <c r="E460" s="12"/>
    </row>
    <row r="461">
      <c r="B461" s="38"/>
      <c r="C461" s="12"/>
      <c r="D461" s="12"/>
      <c r="E461" s="12"/>
    </row>
    <row r="462">
      <c r="B462" s="38"/>
      <c r="C462" s="12"/>
      <c r="D462" s="12"/>
      <c r="E462" s="12"/>
    </row>
    <row r="463">
      <c r="B463" s="38"/>
      <c r="C463" s="12"/>
      <c r="D463" s="12"/>
      <c r="E463" s="12"/>
    </row>
    <row r="464">
      <c r="B464" s="38"/>
      <c r="C464" s="12"/>
      <c r="D464" s="12"/>
      <c r="E464" s="12"/>
    </row>
    <row r="465">
      <c r="B465" s="38"/>
      <c r="C465" s="12"/>
      <c r="D465" s="12"/>
      <c r="E465" s="12"/>
    </row>
    <row r="466">
      <c r="B466" s="38"/>
      <c r="C466" s="12"/>
      <c r="D466" s="12"/>
      <c r="E466" s="12"/>
    </row>
    <row r="467">
      <c r="B467" s="38"/>
      <c r="C467" s="12"/>
      <c r="D467" s="12"/>
      <c r="E467" s="12"/>
    </row>
    <row r="468">
      <c r="B468" s="38"/>
      <c r="C468" s="12"/>
      <c r="D468" s="12"/>
      <c r="E468" s="12"/>
    </row>
    <row r="469">
      <c r="B469" s="38"/>
      <c r="C469" s="12"/>
      <c r="D469" s="12"/>
      <c r="E469" s="12"/>
    </row>
    <row r="470">
      <c r="B470" s="38"/>
      <c r="C470" s="12"/>
      <c r="D470" s="12"/>
      <c r="E470" s="12"/>
    </row>
    <row r="471">
      <c r="B471" s="38"/>
      <c r="C471" s="12"/>
      <c r="D471" s="12"/>
      <c r="E471" s="12"/>
    </row>
    <row r="472">
      <c r="B472" s="38"/>
      <c r="C472" s="12"/>
      <c r="D472" s="12"/>
      <c r="E472" s="12"/>
    </row>
    <row r="473">
      <c r="B473" s="38"/>
      <c r="C473" s="12"/>
      <c r="D473" s="12"/>
      <c r="E473" s="12"/>
    </row>
    <row r="474">
      <c r="B474" s="38"/>
      <c r="C474" s="12"/>
      <c r="D474" s="12"/>
      <c r="E474" s="12"/>
    </row>
    <row r="475">
      <c r="B475" s="38"/>
      <c r="C475" s="12"/>
      <c r="D475" s="12"/>
      <c r="E475" s="12"/>
    </row>
    <row r="476">
      <c r="B476" s="38"/>
      <c r="C476" s="12"/>
      <c r="D476" s="12"/>
      <c r="E476" s="12"/>
    </row>
    <row r="477">
      <c r="B477" s="38"/>
      <c r="C477" s="12"/>
      <c r="D477" s="12"/>
      <c r="E477" s="12"/>
    </row>
    <row r="478">
      <c r="B478" s="38"/>
      <c r="C478" s="12"/>
      <c r="D478" s="12"/>
      <c r="E478" s="12"/>
    </row>
    <row r="479">
      <c r="B479" s="38"/>
      <c r="C479" s="12"/>
      <c r="D479" s="12"/>
      <c r="E479" s="12"/>
    </row>
    <row r="480">
      <c r="B480" s="38"/>
      <c r="C480" s="12"/>
      <c r="D480" s="12"/>
      <c r="E480" s="12"/>
    </row>
    <row r="481">
      <c r="B481" s="38"/>
      <c r="C481" s="12"/>
      <c r="D481" s="12"/>
      <c r="E481" s="12"/>
    </row>
    <row r="482">
      <c r="B482" s="38"/>
      <c r="C482" s="12"/>
      <c r="D482" s="12"/>
      <c r="E482" s="12"/>
    </row>
    <row r="483">
      <c r="B483" s="38"/>
      <c r="C483" s="12"/>
      <c r="D483" s="12"/>
      <c r="E483" s="12"/>
    </row>
    <row r="484">
      <c r="B484" s="38"/>
      <c r="C484" s="12"/>
      <c r="D484" s="12"/>
      <c r="E484" s="12"/>
    </row>
    <row r="485">
      <c r="B485" s="38"/>
      <c r="C485" s="12"/>
      <c r="D485" s="12"/>
      <c r="E485" s="12"/>
    </row>
    <row r="486">
      <c r="B486" s="38"/>
      <c r="C486" s="12"/>
      <c r="D486" s="12"/>
      <c r="E486" s="12"/>
    </row>
    <row r="487">
      <c r="B487" s="38"/>
      <c r="C487" s="12"/>
      <c r="D487" s="12"/>
      <c r="E487" s="12"/>
    </row>
    <row r="488">
      <c r="B488" s="38"/>
      <c r="C488" s="12"/>
      <c r="D488" s="12"/>
      <c r="E488" s="12"/>
    </row>
    <row r="489">
      <c r="B489" s="38"/>
      <c r="C489" s="12"/>
      <c r="D489" s="12"/>
      <c r="E489" s="12"/>
    </row>
    <row r="490">
      <c r="B490" s="38"/>
      <c r="C490" s="12"/>
      <c r="D490" s="12"/>
      <c r="E490" s="12"/>
    </row>
    <row r="491">
      <c r="B491" s="38"/>
      <c r="C491" s="12"/>
      <c r="D491" s="12"/>
      <c r="E491" s="12"/>
    </row>
    <row r="492">
      <c r="B492" s="38"/>
      <c r="C492" s="12"/>
      <c r="D492" s="12"/>
      <c r="E492" s="12"/>
    </row>
    <row r="493">
      <c r="B493" s="38"/>
      <c r="C493" s="12"/>
      <c r="D493" s="12"/>
      <c r="E493" s="12"/>
    </row>
    <row r="494">
      <c r="B494" s="38"/>
      <c r="C494" s="12"/>
      <c r="D494" s="12"/>
      <c r="E494" s="12"/>
    </row>
    <row r="495">
      <c r="B495" s="38"/>
      <c r="C495" s="12"/>
      <c r="D495" s="12"/>
      <c r="E495" s="12"/>
    </row>
    <row r="496">
      <c r="B496" s="38"/>
      <c r="C496" s="12"/>
      <c r="D496" s="12"/>
      <c r="E496" s="12"/>
    </row>
    <row r="497">
      <c r="B497" s="38"/>
      <c r="C497" s="12"/>
      <c r="D497" s="12"/>
      <c r="E497" s="12"/>
    </row>
    <row r="498">
      <c r="B498" s="38"/>
      <c r="C498" s="12"/>
      <c r="D498" s="12"/>
      <c r="E498" s="12"/>
    </row>
    <row r="499">
      <c r="B499" s="38"/>
      <c r="C499" s="12"/>
      <c r="D499" s="12"/>
      <c r="E499" s="12"/>
    </row>
    <row r="500">
      <c r="B500" s="38"/>
      <c r="C500" s="12"/>
      <c r="D500" s="12"/>
      <c r="E500" s="12"/>
    </row>
    <row r="501">
      <c r="B501" s="38"/>
      <c r="C501" s="12"/>
      <c r="D501" s="12"/>
      <c r="E501" s="12"/>
    </row>
    <row r="502">
      <c r="B502" s="38"/>
      <c r="C502" s="12"/>
      <c r="D502" s="12"/>
      <c r="E502" s="12"/>
    </row>
    <row r="503">
      <c r="B503" s="38"/>
      <c r="C503" s="12"/>
      <c r="D503" s="12"/>
      <c r="E503" s="12"/>
    </row>
    <row r="504">
      <c r="B504" s="38"/>
      <c r="C504" s="12"/>
      <c r="D504" s="12"/>
      <c r="E504" s="12"/>
    </row>
    <row r="505">
      <c r="B505" s="38"/>
      <c r="C505" s="12"/>
      <c r="D505" s="12"/>
      <c r="E505" s="12"/>
    </row>
    <row r="506">
      <c r="B506" s="38"/>
      <c r="C506" s="12"/>
      <c r="D506" s="12"/>
      <c r="E506" s="12"/>
    </row>
    <row r="507">
      <c r="B507" s="38"/>
      <c r="C507" s="12"/>
      <c r="D507" s="12"/>
      <c r="E507" s="12"/>
    </row>
    <row r="508">
      <c r="B508" s="38"/>
      <c r="C508" s="12"/>
      <c r="D508" s="12"/>
      <c r="E508" s="12"/>
    </row>
    <row r="509">
      <c r="B509" s="38"/>
      <c r="C509" s="12"/>
      <c r="D509" s="12"/>
      <c r="E509" s="12"/>
    </row>
    <row r="510">
      <c r="B510" s="38"/>
      <c r="C510" s="12"/>
      <c r="D510" s="12"/>
      <c r="E510" s="12"/>
    </row>
    <row r="511">
      <c r="B511" s="38"/>
      <c r="C511" s="12"/>
      <c r="D511" s="12"/>
      <c r="E511" s="12"/>
    </row>
    <row r="512">
      <c r="B512" s="38"/>
      <c r="C512" s="12"/>
      <c r="D512" s="12"/>
      <c r="E512" s="12"/>
    </row>
    <row r="513">
      <c r="B513" s="38"/>
      <c r="C513" s="12"/>
      <c r="D513" s="12"/>
      <c r="E513" s="12"/>
    </row>
    <row r="514">
      <c r="B514" s="38"/>
      <c r="C514" s="12"/>
      <c r="D514" s="12"/>
      <c r="E514" s="12"/>
    </row>
    <row r="515">
      <c r="B515" s="38"/>
      <c r="C515" s="12"/>
      <c r="D515" s="12"/>
      <c r="E515" s="12"/>
    </row>
    <row r="516">
      <c r="B516" s="38"/>
      <c r="C516" s="12"/>
      <c r="D516" s="12"/>
      <c r="E516" s="12"/>
    </row>
    <row r="517">
      <c r="B517" s="38"/>
      <c r="C517" s="12"/>
      <c r="D517" s="12"/>
      <c r="E517" s="12"/>
    </row>
    <row r="518">
      <c r="B518" s="38"/>
      <c r="C518" s="12"/>
      <c r="D518" s="12"/>
      <c r="E518" s="12"/>
    </row>
    <row r="519">
      <c r="B519" s="38"/>
      <c r="C519" s="12"/>
      <c r="D519" s="12"/>
      <c r="E519" s="12"/>
    </row>
    <row r="520">
      <c r="B520" s="38"/>
      <c r="C520" s="12"/>
      <c r="D520" s="12"/>
      <c r="E520" s="12"/>
    </row>
    <row r="521">
      <c r="B521" s="38"/>
      <c r="C521" s="12"/>
      <c r="D521" s="12"/>
      <c r="E521" s="12"/>
    </row>
    <row r="522">
      <c r="B522" s="38"/>
      <c r="C522" s="12"/>
      <c r="D522" s="12"/>
      <c r="E522" s="12"/>
    </row>
    <row r="523">
      <c r="B523" s="38"/>
      <c r="C523" s="12"/>
      <c r="D523" s="12"/>
      <c r="E523" s="12"/>
    </row>
    <row r="524">
      <c r="B524" s="38"/>
      <c r="C524" s="12"/>
      <c r="D524" s="12"/>
      <c r="E524" s="12"/>
    </row>
    <row r="525">
      <c r="B525" s="38"/>
      <c r="C525" s="12"/>
      <c r="D525" s="12"/>
      <c r="E525" s="12"/>
    </row>
    <row r="526">
      <c r="B526" s="38"/>
      <c r="C526" s="12"/>
      <c r="D526" s="12"/>
      <c r="E526" s="12"/>
    </row>
    <row r="527">
      <c r="B527" s="38"/>
      <c r="C527" s="12"/>
      <c r="D527" s="12"/>
      <c r="E527" s="12"/>
    </row>
    <row r="528">
      <c r="B528" s="38"/>
      <c r="C528" s="12"/>
      <c r="D528" s="12"/>
      <c r="E528" s="12"/>
    </row>
    <row r="529">
      <c r="B529" s="38"/>
      <c r="C529" s="12"/>
      <c r="D529" s="12"/>
      <c r="E529" s="12"/>
    </row>
    <row r="530">
      <c r="B530" s="38"/>
      <c r="C530" s="12"/>
      <c r="D530" s="12"/>
      <c r="E530" s="12"/>
    </row>
    <row r="531">
      <c r="B531" s="38"/>
      <c r="C531" s="12"/>
      <c r="D531" s="12"/>
      <c r="E531" s="12"/>
    </row>
    <row r="532">
      <c r="B532" s="38"/>
      <c r="C532" s="12"/>
      <c r="D532" s="12"/>
      <c r="E532" s="12"/>
    </row>
    <row r="533">
      <c r="B533" s="38"/>
      <c r="C533" s="12"/>
      <c r="D533" s="12"/>
      <c r="E533" s="12"/>
    </row>
    <row r="534">
      <c r="B534" s="38"/>
      <c r="C534" s="12"/>
      <c r="D534" s="12"/>
      <c r="E534" s="12"/>
    </row>
    <row r="535">
      <c r="B535" s="38"/>
      <c r="C535" s="12"/>
      <c r="D535" s="12"/>
      <c r="E535" s="12"/>
    </row>
    <row r="536">
      <c r="B536" s="38"/>
      <c r="C536" s="12"/>
      <c r="D536" s="12"/>
      <c r="E536" s="12"/>
    </row>
    <row r="537">
      <c r="B537" s="38"/>
      <c r="C537" s="12"/>
      <c r="D537" s="12"/>
      <c r="E537" s="12"/>
    </row>
    <row r="538">
      <c r="B538" s="38"/>
      <c r="C538" s="12"/>
      <c r="D538" s="12"/>
      <c r="E538" s="12"/>
    </row>
    <row r="539">
      <c r="B539" s="38"/>
      <c r="C539" s="12"/>
      <c r="D539" s="12"/>
      <c r="E539" s="12"/>
    </row>
    <row r="540">
      <c r="B540" s="38"/>
      <c r="C540" s="12"/>
      <c r="D540" s="12"/>
      <c r="E540" s="12"/>
    </row>
    <row r="541">
      <c r="B541" s="38"/>
      <c r="C541" s="12"/>
      <c r="D541" s="12"/>
      <c r="E541" s="12"/>
    </row>
    <row r="542">
      <c r="B542" s="38"/>
      <c r="C542" s="12"/>
      <c r="D542" s="12"/>
      <c r="E542" s="12"/>
    </row>
    <row r="543">
      <c r="B543" s="38"/>
      <c r="C543" s="12"/>
      <c r="D543" s="12"/>
      <c r="E543" s="12"/>
    </row>
    <row r="544">
      <c r="B544" s="38"/>
      <c r="C544" s="12"/>
      <c r="D544" s="12"/>
      <c r="E544" s="12"/>
    </row>
    <row r="545">
      <c r="B545" s="38"/>
      <c r="C545" s="12"/>
      <c r="D545" s="12"/>
      <c r="E545" s="12"/>
    </row>
    <row r="546">
      <c r="B546" s="38"/>
      <c r="C546" s="12"/>
      <c r="D546" s="12"/>
      <c r="E546" s="12"/>
    </row>
    <row r="547">
      <c r="B547" s="38"/>
      <c r="C547" s="12"/>
      <c r="D547" s="12"/>
      <c r="E547" s="12"/>
    </row>
    <row r="548">
      <c r="B548" s="38"/>
      <c r="C548" s="12"/>
      <c r="D548" s="12"/>
      <c r="E548" s="12"/>
    </row>
    <row r="549">
      <c r="B549" s="38"/>
      <c r="C549" s="12"/>
      <c r="D549" s="12"/>
      <c r="E549" s="12"/>
    </row>
    <row r="550">
      <c r="B550" s="38"/>
      <c r="C550" s="12"/>
      <c r="D550" s="12"/>
      <c r="E550" s="12"/>
    </row>
    <row r="551">
      <c r="B551" s="38"/>
      <c r="C551" s="12"/>
      <c r="D551" s="12"/>
      <c r="E551" s="12"/>
    </row>
    <row r="552">
      <c r="B552" s="38"/>
      <c r="C552" s="12"/>
      <c r="D552" s="12"/>
      <c r="E552" s="12"/>
    </row>
    <row r="553">
      <c r="B553" s="38"/>
      <c r="C553" s="12"/>
      <c r="D553" s="12"/>
      <c r="E553" s="12"/>
    </row>
    <row r="554">
      <c r="B554" s="38"/>
      <c r="C554" s="12"/>
      <c r="D554" s="12"/>
      <c r="E554" s="12"/>
    </row>
    <row r="555">
      <c r="B555" s="38"/>
      <c r="C555" s="12"/>
      <c r="D555" s="12"/>
      <c r="E555" s="12"/>
    </row>
    <row r="556">
      <c r="B556" s="38"/>
      <c r="C556" s="12"/>
      <c r="D556" s="12"/>
      <c r="E556" s="12"/>
    </row>
    <row r="557">
      <c r="B557" s="38"/>
      <c r="C557" s="12"/>
      <c r="D557" s="12"/>
      <c r="E557" s="12"/>
    </row>
    <row r="558">
      <c r="B558" s="38"/>
      <c r="C558" s="12"/>
      <c r="D558" s="12"/>
      <c r="E558" s="12"/>
    </row>
    <row r="559">
      <c r="B559" s="38"/>
      <c r="C559" s="12"/>
      <c r="D559" s="12"/>
      <c r="E559" s="12"/>
    </row>
    <row r="560">
      <c r="B560" s="38"/>
      <c r="C560" s="12"/>
      <c r="D560" s="12"/>
      <c r="E560" s="12"/>
    </row>
    <row r="561">
      <c r="B561" s="38"/>
      <c r="C561" s="12"/>
      <c r="D561" s="12"/>
      <c r="E561" s="12"/>
    </row>
    <row r="562">
      <c r="B562" s="38"/>
      <c r="C562" s="12"/>
      <c r="D562" s="12"/>
      <c r="E562" s="12"/>
    </row>
    <row r="563">
      <c r="B563" s="38"/>
      <c r="C563" s="12"/>
      <c r="D563" s="12"/>
      <c r="E563" s="12"/>
    </row>
    <row r="564">
      <c r="B564" s="38"/>
      <c r="C564" s="12"/>
      <c r="D564" s="12"/>
      <c r="E564" s="12"/>
    </row>
    <row r="565">
      <c r="B565" s="38"/>
      <c r="C565" s="12"/>
      <c r="D565" s="12"/>
      <c r="E565" s="12"/>
    </row>
    <row r="566">
      <c r="B566" s="38"/>
      <c r="C566" s="12"/>
      <c r="D566" s="12"/>
      <c r="E566" s="12"/>
    </row>
    <row r="567">
      <c r="B567" s="38"/>
      <c r="C567" s="12"/>
      <c r="D567" s="12"/>
      <c r="E567" s="12"/>
    </row>
    <row r="568">
      <c r="B568" s="38"/>
      <c r="C568" s="12"/>
      <c r="D568" s="12"/>
      <c r="E568" s="12"/>
    </row>
    <row r="569">
      <c r="B569" s="38"/>
      <c r="C569" s="12"/>
      <c r="D569" s="12"/>
      <c r="E569" s="12"/>
    </row>
    <row r="570">
      <c r="B570" s="38"/>
      <c r="C570" s="12"/>
      <c r="D570" s="12"/>
      <c r="E570" s="12"/>
    </row>
    <row r="571">
      <c r="B571" s="38"/>
      <c r="C571" s="12"/>
      <c r="D571" s="12"/>
      <c r="E571" s="12"/>
    </row>
    <row r="572">
      <c r="B572" s="38"/>
      <c r="C572" s="12"/>
      <c r="D572" s="12"/>
      <c r="E572" s="12"/>
    </row>
    <row r="573">
      <c r="B573" s="38"/>
      <c r="C573" s="12"/>
      <c r="D573" s="12"/>
      <c r="E573" s="12"/>
    </row>
    <row r="574">
      <c r="B574" s="38"/>
      <c r="C574" s="12"/>
      <c r="D574" s="12"/>
      <c r="E574" s="12"/>
    </row>
    <row r="575">
      <c r="B575" s="38"/>
      <c r="C575" s="12"/>
      <c r="D575" s="12"/>
      <c r="E575" s="12"/>
    </row>
    <row r="576">
      <c r="B576" s="38"/>
      <c r="C576" s="12"/>
      <c r="D576" s="12"/>
      <c r="E576" s="12"/>
    </row>
    <row r="577">
      <c r="B577" s="38"/>
      <c r="C577" s="12"/>
      <c r="D577" s="12"/>
      <c r="E577" s="12"/>
    </row>
    <row r="578">
      <c r="B578" s="38"/>
      <c r="C578" s="12"/>
      <c r="D578" s="12"/>
      <c r="E578" s="12"/>
    </row>
    <row r="579">
      <c r="B579" s="38"/>
      <c r="C579" s="12"/>
      <c r="D579" s="12"/>
      <c r="E579" s="12"/>
    </row>
    <row r="580">
      <c r="B580" s="38"/>
      <c r="C580" s="12"/>
      <c r="D580" s="12"/>
      <c r="E580" s="12"/>
    </row>
    <row r="581">
      <c r="B581" s="38"/>
      <c r="C581" s="12"/>
      <c r="D581" s="12"/>
      <c r="E581" s="12"/>
    </row>
    <row r="582">
      <c r="B582" s="38"/>
      <c r="C582" s="12"/>
      <c r="D582" s="12"/>
      <c r="E582" s="12"/>
    </row>
    <row r="583">
      <c r="B583" s="38"/>
      <c r="C583" s="12"/>
      <c r="D583" s="12"/>
      <c r="E583" s="12"/>
    </row>
    <row r="584">
      <c r="B584" s="38"/>
      <c r="C584" s="12"/>
      <c r="D584" s="12"/>
      <c r="E584" s="12"/>
    </row>
    <row r="585">
      <c r="B585" s="38"/>
      <c r="C585" s="12"/>
      <c r="D585" s="12"/>
      <c r="E585" s="12"/>
    </row>
    <row r="586">
      <c r="B586" s="38"/>
      <c r="C586" s="12"/>
      <c r="D586" s="12"/>
      <c r="E586" s="12"/>
    </row>
    <row r="587">
      <c r="B587" s="38"/>
      <c r="C587" s="12"/>
      <c r="D587" s="12"/>
      <c r="E587" s="12"/>
    </row>
    <row r="588">
      <c r="B588" s="38"/>
      <c r="C588" s="12"/>
      <c r="D588" s="12"/>
      <c r="E588" s="12"/>
    </row>
    <row r="589">
      <c r="B589" s="38"/>
      <c r="C589" s="12"/>
      <c r="D589" s="12"/>
      <c r="E589" s="12"/>
    </row>
    <row r="590">
      <c r="B590" s="38"/>
      <c r="C590" s="12"/>
      <c r="D590" s="12"/>
      <c r="E590" s="12"/>
    </row>
    <row r="591">
      <c r="B591" s="38"/>
      <c r="C591" s="12"/>
      <c r="D591" s="12"/>
      <c r="E591" s="12"/>
    </row>
    <row r="592">
      <c r="B592" s="38"/>
      <c r="C592" s="12"/>
      <c r="D592" s="12"/>
      <c r="E592" s="12"/>
    </row>
    <row r="593">
      <c r="B593" s="38"/>
      <c r="C593" s="12"/>
      <c r="D593" s="12"/>
      <c r="E593" s="12"/>
    </row>
    <row r="594">
      <c r="B594" s="38"/>
      <c r="C594" s="12"/>
      <c r="D594" s="12"/>
      <c r="E594" s="12"/>
    </row>
    <row r="595">
      <c r="B595" s="38"/>
      <c r="C595" s="12"/>
      <c r="D595" s="12"/>
      <c r="E595" s="12"/>
    </row>
    <row r="596">
      <c r="B596" s="38"/>
      <c r="C596" s="12"/>
      <c r="D596" s="12"/>
      <c r="E596" s="12"/>
    </row>
    <row r="597">
      <c r="B597" s="38"/>
      <c r="C597" s="12"/>
      <c r="D597" s="12"/>
      <c r="E597" s="12"/>
    </row>
    <row r="598">
      <c r="B598" s="38"/>
      <c r="C598" s="12"/>
      <c r="D598" s="12"/>
      <c r="E598" s="12"/>
    </row>
    <row r="599">
      <c r="B599" s="38"/>
      <c r="C599" s="12"/>
      <c r="D599" s="12"/>
      <c r="E599" s="12"/>
    </row>
    <row r="600">
      <c r="B600" s="38"/>
      <c r="C600" s="12"/>
      <c r="D600" s="12"/>
      <c r="E600" s="12"/>
    </row>
    <row r="601">
      <c r="B601" s="38"/>
      <c r="C601" s="12"/>
      <c r="D601" s="12"/>
      <c r="E601" s="12"/>
    </row>
    <row r="602">
      <c r="B602" s="38"/>
      <c r="C602" s="12"/>
      <c r="D602" s="12"/>
      <c r="E602" s="12"/>
    </row>
    <row r="603">
      <c r="B603" s="38"/>
      <c r="C603" s="12"/>
      <c r="D603" s="12"/>
      <c r="E603" s="12"/>
    </row>
    <row r="604">
      <c r="B604" s="38"/>
      <c r="C604" s="12"/>
      <c r="D604" s="12"/>
      <c r="E604" s="12"/>
    </row>
    <row r="605">
      <c r="B605" s="38"/>
      <c r="C605" s="12"/>
      <c r="D605" s="12"/>
      <c r="E605" s="12"/>
    </row>
    <row r="606">
      <c r="B606" s="38"/>
      <c r="C606" s="12"/>
      <c r="D606" s="12"/>
      <c r="E606" s="12"/>
    </row>
    <row r="607">
      <c r="B607" s="38"/>
      <c r="C607" s="12"/>
      <c r="D607" s="12"/>
      <c r="E607" s="12"/>
    </row>
    <row r="608">
      <c r="B608" s="38"/>
      <c r="C608" s="12"/>
      <c r="D608" s="12"/>
      <c r="E608" s="12"/>
    </row>
    <row r="609">
      <c r="B609" s="38"/>
      <c r="C609" s="12"/>
      <c r="D609" s="12"/>
      <c r="E609" s="12"/>
    </row>
    <row r="610">
      <c r="B610" s="38"/>
      <c r="C610" s="12"/>
      <c r="D610" s="12"/>
      <c r="E610" s="12"/>
    </row>
    <row r="611">
      <c r="B611" s="38"/>
      <c r="C611" s="12"/>
      <c r="D611" s="12"/>
      <c r="E611" s="12"/>
    </row>
    <row r="612">
      <c r="B612" s="38"/>
      <c r="C612" s="12"/>
      <c r="D612" s="12"/>
      <c r="E612" s="12"/>
    </row>
    <row r="613">
      <c r="B613" s="38"/>
      <c r="C613" s="12"/>
      <c r="D613" s="12"/>
      <c r="E613" s="12"/>
    </row>
    <row r="614">
      <c r="B614" s="38"/>
      <c r="C614" s="12"/>
      <c r="D614" s="12"/>
      <c r="E614" s="12"/>
    </row>
    <row r="615">
      <c r="B615" s="38"/>
      <c r="C615" s="12"/>
      <c r="D615" s="12"/>
      <c r="E615" s="12"/>
    </row>
    <row r="616">
      <c r="B616" s="38"/>
      <c r="C616" s="12"/>
      <c r="D616" s="12"/>
      <c r="E616" s="12"/>
    </row>
    <row r="617">
      <c r="B617" s="38"/>
      <c r="C617" s="12"/>
      <c r="D617" s="12"/>
      <c r="E617" s="12"/>
    </row>
    <row r="618">
      <c r="B618" s="38"/>
      <c r="C618" s="12"/>
      <c r="D618" s="12"/>
      <c r="E618" s="12"/>
    </row>
    <row r="619">
      <c r="B619" s="38"/>
      <c r="C619" s="12"/>
      <c r="D619" s="12"/>
      <c r="E619" s="12"/>
    </row>
    <row r="620">
      <c r="B620" s="38"/>
      <c r="C620" s="12"/>
      <c r="D620" s="12"/>
      <c r="E620" s="12"/>
    </row>
    <row r="621">
      <c r="B621" s="38"/>
      <c r="C621" s="12"/>
      <c r="D621" s="12"/>
      <c r="E621" s="12"/>
    </row>
    <row r="622">
      <c r="B622" s="38"/>
      <c r="C622" s="12"/>
      <c r="D622" s="12"/>
      <c r="E622" s="12"/>
    </row>
    <row r="623">
      <c r="B623" s="38"/>
      <c r="C623" s="12"/>
      <c r="D623" s="12"/>
      <c r="E623" s="12"/>
    </row>
    <row r="624">
      <c r="B624" s="38"/>
      <c r="C624" s="12"/>
      <c r="D624" s="12"/>
      <c r="E624" s="12"/>
    </row>
    <row r="625">
      <c r="B625" s="38"/>
      <c r="C625" s="12"/>
      <c r="D625" s="12"/>
      <c r="E625" s="12"/>
    </row>
    <row r="626">
      <c r="B626" s="38"/>
      <c r="C626" s="12"/>
      <c r="D626" s="12"/>
      <c r="E626" s="12"/>
    </row>
    <row r="627">
      <c r="B627" s="38"/>
      <c r="C627" s="12"/>
      <c r="D627" s="12"/>
      <c r="E627" s="12"/>
    </row>
    <row r="628">
      <c r="B628" s="38"/>
      <c r="C628" s="12"/>
      <c r="D628" s="12"/>
      <c r="E628" s="12"/>
    </row>
    <row r="629">
      <c r="B629" s="38"/>
      <c r="C629" s="12"/>
      <c r="D629" s="12"/>
      <c r="E629" s="12"/>
    </row>
    <row r="630">
      <c r="B630" s="38"/>
      <c r="C630" s="12"/>
      <c r="D630" s="12"/>
      <c r="E630" s="12"/>
    </row>
    <row r="631">
      <c r="B631" s="38"/>
      <c r="C631" s="12"/>
      <c r="D631" s="12"/>
      <c r="E631" s="12"/>
    </row>
    <row r="632">
      <c r="B632" s="38"/>
      <c r="C632" s="12"/>
      <c r="D632" s="12"/>
      <c r="E632" s="12"/>
    </row>
    <row r="633">
      <c r="B633" s="38"/>
      <c r="C633" s="12"/>
      <c r="D633" s="12"/>
      <c r="E633" s="12"/>
    </row>
    <row r="634">
      <c r="B634" s="38"/>
      <c r="C634" s="12"/>
      <c r="D634" s="12"/>
      <c r="E634" s="12"/>
    </row>
    <row r="635">
      <c r="B635" s="38"/>
      <c r="C635" s="12"/>
      <c r="D635" s="12"/>
      <c r="E635" s="12"/>
    </row>
    <row r="636">
      <c r="B636" s="38"/>
      <c r="C636" s="12"/>
      <c r="D636" s="12"/>
      <c r="E636" s="12"/>
    </row>
    <row r="637">
      <c r="B637" s="38"/>
      <c r="C637" s="12"/>
      <c r="D637" s="12"/>
      <c r="E637" s="12"/>
    </row>
    <row r="638">
      <c r="B638" s="38"/>
      <c r="C638" s="12"/>
      <c r="D638" s="12"/>
      <c r="E638" s="12"/>
    </row>
    <row r="639">
      <c r="B639" s="38"/>
      <c r="C639" s="12"/>
      <c r="D639" s="12"/>
      <c r="E639" s="12"/>
    </row>
    <row r="640">
      <c r="B640" s="38"/>
      <c r="C640" s="12"/>
      <c r="D640" s="12"/>
      <c r="E640" s="12"/>
    </row>
    <row r="641">
      <c r="B641" s="38"/>
      <c r="C641" s="12"/>
      <c r="D641" s="12"/>
      <c r="E641" s="12"/>
    </row>
    <row r="642">
      <c r="B642" s="38"/>
      <c r="C642" s="12"/>
      <c r="D642" s="12"/>
      <c r="E642" s="12"/>
    </row>
    <row r="643">
      <c r="B643" s="38"/>
      <c r="C643" s="12"/>
      <c r="D643" s="12"/>
      <c r="E643" s="12"/>
    </row>
    <row r="644">
      <c r="B644" s="38"/>
      <c r="C644" s="12"/>
      <c r="D644" s="12"/>
      <c r="E644" s="12"/>
    </row>
    <row r="645">
      <c r="B645" s="38"/>
      <c r="C645" s="12"/>
      <c r="D645" s="12"/>
      <c r="E645" s="12"/>
    </row>
    <row r="646">
      <c r="B646" s="38"/>
      <c r="C646" s="12"/>
      <c r="D646" s="12"/>
      <c r="E646" s="12"/>
    </row>
    <row r="647">
      <c r="B647" s="38"/>
      <c r="C647" s="12"/>
      <c r="D647" s="12"/>
      <c r="E647" s="12"/>
    </row>
    <row r="648">
      <c r="B648" s="38"/>
      <c r="C648" s="12"/>
      <c r="D648" s="12"/>
      <c r="E648" s="12"/>
    </row>
    <row r="649">
      <c r="B649" s="38"/>
      <c r="C649" s="12"/>
      <c r="D649" s="12"/>
      <c r="E649" s="12"/>
    </row>
    <row r="650">
      <c r="B650" s="38"/>
      <c r="C650" s="12"/>
      <c r="D650" s="12"/>
      <c r="E650" s="12"/>
    </row>
    <row r="651">
      <c r="B651" s="38"/>
      <c r="C651" s="12"/>
      <c r="D651" s="12"/>
      <c r="E651" s="12"/>
    </row>
    <row r="652">
      <c r="B652" s="38"/>
      <c r="C652" s="12"/>
      <c r="D652" s="12"/>
      <c r="E652" s="12"/>
    </row>
    <row r="653">
      <c r="B653" s="38"/>
      <c r="C653" s="12"/>
      <c r="D653" s="12"/>
      <c r="E653" s="12"/>
    </row>
    <row r="654">
      <c r="B654" s="38"/>
      <c r="C654" s="12"/>
      <c r="D654" s="12"/>
      <c r="E654" s="12"/>
    </row>
    <row r="655">
      <c r="B655" s="38"/>
      <c r="C655" s="12"/>
      <c r="D655" s="12"/>
      <c r="E655" s="12"/>
    </row>
    <row r="656">
      <c r="B656" s="38"/>
      <c r="C656" s="12"/>
      <c r="D656" s="12"/>
      <c r="E656" s="12"/>
    </row>
    <row r="657">
      <c r="B657" s="38"/>
      <c r="C657" s="12"/>
      <c r="D657" s="12"/>
      <c r="E657" s="12"/>
    </row>
    <row r="658">
      <c r="B658" s="38"/>
      <c r="C658" s="12"/>
      <c r="D658" s="12"/>
      <c r="E658" s="12"/>
    </row>
    <row r="659">
      <c r="B659" s="38"/>
      <c r="C659" s="12"/>
      <c r="D659" s="12"/>
      <c r="E659" s="12"/>
    </row>
    <row r="660">
      <c r="B660" s="38"/>
      <c r="C660" s="12"/>
      <c r="D660" s="12"/>
      <c r="E660" s="12"/>
    </row>
    <row r="661">
      <c r="B661" s="38"/>
      <c r="C661" s="12"/>
      <c r="D661" s="12"/>
      <c r="E661" s="12"/>
    </row>
    <row r="662">
      <c r="B662" s="38"/>
      <c r="C662" s="12"/>
      <c r="D662" s="12"/>
      <c r="E662" s="12"/>
    </row>
    <row r="663">
      <c r="B663" s="38"/>
      <c r="C663" s="12"/>
      <c r="D663" s="12"/>
      <c r="E663" s="12"/>
    </row>
    <row r="664">
      <c r="B664" s="38"/>
      <c r="C664" s="12"/>
      <c r="D664" s="12"/>
      <c r="E664" s="12"/>
    </row>
    <row r="665">
      <c r="B665" s="38"/>
      <c r="C665" s="12"/>
      <c r="D665" s="12"/>
      <c r="E665" s="12"/>
    </row>
    <row r="666">
      <c r="B666" s="38"/>
      <c r="C666" s="12"/>
      <c r="D666" s="12"/>
      <c r="E666" s="12"/>
    </row>
    <row r="667">
      <c r="B667" s="38"/>
      <c r="C667" s="12"/>
      <c r="D667" s="12"/>
      <c r="E667" s="12"/>
    </row>
    <row r="668">
      <c r="B668" s="38"/>
      <c r="C668" s="12"/>
      <c r="D668" s="12"/>
      <c r="E668" s="12"/>
    </row>
    <row r="669">
      <c r="B669" s="38"/>
      <c r="C669" s="12"/>
      <c r="D669" s="12"/>
      <c r="E669" s="12"/>
    </row>
    <row r="670">
      <c r="B670" s="38"/>
      <c r="C670" s="12"/>
      <c r="D670" s="12"/>
      <c r="E670" s="12"/>
    </row>
    <row r="671">
      <c r="B671" s="38"/>
      <c r="C671" s="12"/>
      <c r="D671" s="12"/>
      <c r="E671" s="12"/>
    </row>
    <row r="672">
      <c r="B672" s="38"/>
      <c r="C672" s="12"/>
      <c r="D672" s="12"/>
      <c r="E672" s="12"/>
    </row>
    <row r="673">
      <c r="B673" s="38"/>
      <c r="C673" s="12"/>
      <c r="D673" s="12"/>
      <c r="E673" s="12"/>
    </row>
    <row r="674">
      <c r="B674" s="38"/>
      <c r="C674" s="12"/>
      <c r="D674" s="12"/>
      <c r="E674" s="12"/>
    </row>
    <row r="675">
      <c r="B675" s="38"/>
      <c r="C675" s="12"/>
      <c r="D675" s="12"/>
      <c r="E675" s="12"/>
    </row>
    <row r="676">
      <c r="B676" s="38"/>
      <c r="C676" s="12"/>
      <c r="D676" s="12"/>
      <c r="E676" s="12"/>
    </row>
    <row r="677">
      <c r="B677" s="38"/>
      <c r="C677" s="12"/>
      <c r="D677" s="12"/>
      <c r="E677" s="12"/>
    </row>
    <row r="678">
      <c r="B678" s="38"/>
      <c r="C678" s="12"/>
      <c r="D678" s="12"/>
      <c r="E678" s="12"/>
    </row>
    <row r="679">
      <c r="B679" s="38"/>
      <c r="C679" s="12"/>
      <c r="D679" s="12"/>
      <c r="E679" s="12"/>
    </row>
    <row r="680">
      <c r="B680" s="38"/>
      <c r="C680" s="12"/>
      <c r="D680" s="12"/>
      <c r="E680" s="12"/>
    </row>
    <row r="681">
      <c r="B681" s="38"/>
      <c r="C681" s="12"/>
      <c r="D681" s="12"/>
      <c r="E681" s="12"/>
    </row>
    <row r="682">
      <c r="B682" s="38"/>
      <c r="C682" s="12"/>
      <c r="D682" s="12"/>
      <c r="E682" s="12"/>
    </row>
    <row r="683">
      <c r="B683" s="38"/>
      <c r="C683" s="12"/>
      <c r="D683" s="12"/>
      <c r="E683" s="12"/>
    </row>
    <row r="684">
      <c r="B684" s="38"/>
      <c r="C684" s="12"/>
      <c r="D684" s="12"/>
      <c r="E684" s="12"/>
    </row>
    <row r="685">
      <c r="B685" s="38"/>
      <c r="C685" s="12"/>
      <c r="D685" s="12"/>
      <c r="E685" s="12"/>
    </row>
    <row r="686">
      <c r="B686" s="38"/>
      <c r="C686" s="12"/>
      <c r="D686" s="12"/>
      <c r="E686" s="12"/>
    </row>
    <row r="687">
      <c r="B687" s="38"/>
      <c r="C687" s="12"/>
      <c r="D687" s="12"/>
      <c r="E687" s="12"/>
    </row>
    <row r="688">
      <c r="B688" s="38"/>
      <c r="C688" s="12"/>
      <c r="D688" s="12"/>
      <c r="E688" s="12"/>
    </row>
    <row r="689">
      <c r="B689" s="38"/>
      <c r="C689" s="12"/>
      <c r="D689" s="12"/>
      <c r="E689" s="12"/>
    </row>
    <row r="690">
      <c r="B690" s="38"/>
      <c r="C690" s="12"/>
      <c r="D690" s="12"/>
      <c r="E690" s="12"/>
    </row>
    <row r="691">
      <c r="B691" s="38"/>
      <c r="C691" s="12"/>
      <c r="D691" s="12"/>
      <c r="E691" s="12"/>
    </row>
    <row r="692">
      <c r="B692" s="38"/>
      <c r="C692" s="12"/>
      <c r="D692" s="12"/>
      <c r="E692" s="12"/>
    </row>
    <row r="693">
      <c r="B693" s="38"/>
      <c r="C693" s="12"/>
      <c r="D693" s="12"/>
      <c r="E693" s="12"/>
    </row>
    <row r="694">
      <c r="B694" s="38"/>
      <c r="C694" s="12"/>
      <c r="D694" s="12"/>
      <c r="E694" s="12"/>
    </row>
    <row r="695">
      <c r="B695" s="38"/>
      <c r="C695" s="12"/>
      <c r="D695" s="12"/>
      <c r="E695" s="12"/>
    </row>
    <row r="696">
      <c r="B696" s="38"/>
      <c r="C696" s="12"/>
      <c r="D696" s="12"/>
      <c r="E696" s="12"/>
    </row>
    <row r="697">
      <c r="B697" s="38"/>
      <c r="C697" s="12"/>
      <c r="D697" s="12"/>
      <c r="E697" s="12"/>
    </row>
    <row r="698">
      <c r="B698" s="38"/>
      <c r="C698" s="12"/>
      <c r="D698" s="12"/>
      <c r="E698" s="12"/>
    </row>
    <row r="699">
      <c r="B699" s="38"/>
      <c r="C699" s="12"/>
      <c r="D699" s="12"/>
      <c r="E699" s="12"/>
    </row>
    <row r="700">
      <c r="B700" s="38"/>
      <c r="C700" s="12"/>
      <c r="D700" s="12"/>
      <c r="E700" s="12"/>
    </row>
    <row r="701">
      <c r="B701" s="38"/>
      <c r="C701" s="12"/>
      <c r="D701" s="12"/>
      <c r="E701" s="12"/>
    </row>
    <row r="702">
      <c r="B702" s="38"/>
      <c r="C702" s="12"/>
      <c r="D702" s="12"/>
      <c r="E702" s="12"/>
    </row>
    <row r="703">
      <c r="B703" s="38"/>
      <c r="C703" s="12"/>
      <c r="D703" s="12"/>
      <c r="E703" s="12"/>
    </row>
    <row r="704">
      <c r="B704" s="38"/>
      <c r="C704" s="12"/>
      <c r="D704" s="12"/>
      <c r="E704" s="12"/>
    </row>
    <row r="705">
      <c r="B705" s="38"/>
      <c r="C705" s="12"/>
      <c r="D705" s="12"/>
      <c r="E705" s="12"/>
    </row>
    <row r="706">
      <c r="B706" s="38"/>
      <c r="C706" s="12"/>
      <c r="D706" s="12"/>
      <c r="E706" s="12"/>
    </row>
    <row r="707">
      <c r="B707" s="38"/>
      <c r="C707" s="12"/>
      <c r="D707" s="12"/>
      <c r="E707" s="12"/>
    </row>
    <row r="708">
      <c r="B708" s="38"/>
      <c r="C708" s="12"/>
      <c r="D708" s="12"/>
      <c r="E708" s="12"/>
    </row>
    <row r="709">
      <c r="B709" s="38"/>
      <c r="C709" s="12"/>
      <c r="D709" s="12"/>
      <c r="E709" s="12"/>
    </row>
    <row r="710">
      <c r="B710" s="38"/>
      <c r="C710" s="12"/>
      <c r="D710" s="12"/>
      <c r="E710" s="12"/>
    </row>
    <row r="711">
      <c r="B711" s="38"/>
      <c r="C711" s="12"/>
      <c r="D711" s="12"/>
      <c r="E711" s="12"/>
    </row>
    <row r="712">
      <c r="B712" s="38"/>
      <c r="C712" s="12"/>
      <c r="D712" s="12"/>
      <c r="E712" s="12"/>
    </row>
    <row r="713">
      <c r="B713" s="38"/>
      <c r="C713" s="12"/>
      <c r="D713" s="12"/>
      <c r="E713" s="12"/>
    </row>
    <row r="714">
      <c r="B714" s="38"/>
      <c r="C714" s="12"/>
      <c r="D714" s="12"/>
      <c r="E714" s="12"/>
    </row>
    <row r="715">
      <c r="B715" s="38"/>
      <c r="C715" s="12"/>
      <c r="D715" s="12"/>
      <c r="E715" s="12"/>
    </row>
    <row r="716">
      <c r="B716" s="38"/>
      <c r="C716" s="12"/>
      <c r="D716" s="12"/>
      <c r="E716" s="12"/>
    </row>
    <row r="717">
      <c r="B717" s="38"/>
      <c r="C717" s="12"/>
      <c r="D717" s="12"/>
      <c r="E717" s="12"/>
    </row>
    <row r="718">
      <c r="B718" s="38"/>
      <c r="C718" s="12"/>
      <c r="D718" s="12"/>
      <c r="E718" s="12"/>
    </row>
    <row r="719">
      <c r="B719" s="38"/>
      <c r="C719" s="12"/>
      <c r="D719" s="12"/>
      <c r="E719" s="12"/>
    </row>
    <row r="720">
      <c r="B720" s="38"/>
      <c r="C720" s="12"/>
      <c r="D720" s="12"/>
      <c r="E720" s="12"/>
    </row>
    <row r="721">
      <c r="B721" s="38"/>
      <c r="C721" s="12"/>
      <c r="D721" s="12"/>
      <c r="E721" s="12"/>
    </row>
    <row r="722">
      <c r="B722" s="38"/>
      <c r="C722" s="12"/>
      <c r="D722" s="12"/>
      <c r="E722" s="12"/>
    </row>
    <row r="723">
      <c r="B723" s="38"/>
      <c r="C723" s="12"/>
      <c r="D723" s="12"/>
      <c r="E723" s="12"/>
    </row>
    <row r="724">
      <c r="B724" s="38"/>
      <c r="C724" s="12"/>
      <c r="D724" s="12"/>
      <c r="E724" s="12"/>
    </row>
    <row r="725">
      <c r="B725" s="38"/>
      <c r="C725" s="12"/>
      <c r="D725" s="12"/>
      <c r="E725" s="12"/>
    </row>
    <row r="726">
      <c r="B726" s="38"/>
      <c r="C726" s="12"/>
      <c r="D726" s="12"/>
      <c r="E726" s="12"/>
    </row>
    <row r="727">
      <c r="B727" s="38"/>
      <c r="C727" s="12"/>
      <c r="D727" s="12"/>
      <c r="E727" s="12"/>
    </row>
    <row r="728">
      <c r="B728" s="38"/>
      <c r="C728" s="12"/>
      <c r="D728" s="12"/>
      <c r="E728" s="12"/>
    </row>
    <row r="729">
      <c r="B729" s="38"/>
      <c r="C729" s="12"/>
      <c r="D729" s="12"/>
      <c r="E729" s="12"/>
    </row>
    <row r="730">
      <c r="B730" s="38"/>
      <c r="C730" s="12"/>
      <c r="D730" s="12"/>
      <c r="E730" s="12"/>
    </row>
    <row r="731">
      <c r="B731" s="38"/>
      <c r="C731" s="12"/>
      <c r="D731" s="12"/>
      <c r="E731" s="12"/>
    </row>
    <row r="732">
      <c r="B732" s="38"/>
      <c r="C732" s="12"/>
      <c r="D732" s="12"/>
      <c r="E732" s="12"/>
    </row>
    <row r="733">
      <c r="B733" s="38"/>
      <c r="C733" s="12"/>
      <c r="D733" s="12"/>
      <c r="E733" s="12"/>
    </row>
    <row r="734">
      <c r="B734" s="38"/>
      <c r="C734" s="12"/>
      <c r="D734" s="12"/>
      <c r="E734" s="12"/>
    </row>
    <row r="735">
      <c r="B735" s="38"/>
      <c r="C735" s="12"/>
      <c r="D735" s="12"/>
      <c r="E735" s="12"/>
    </row>
    <row r="736">
      <c r="B736" s="38"/>
      <c r="C736" s="12"/>
      <c r="D736" s="12"/>
      <c r="E736" s="12"/>
    </row>
    <row r="737">
      <c r="B737" s="38"/>
      <c r="C737" s="12"/>
      <c r="D737" s="12"/>
      <c r="E737" s="12"/>
    </row>
    <row r="738">
      <c r="B738" s="38"/>
      <c r="C738" s="12"/>
      <c r="D738" s="12"/>
      <c r="E738" s="12"/>
    </row>
    <row r="739">
      <c r="B739" s="38"/>
      <c r="C739" s="12"/>
      <c r="D739" s="12"/>
      <c r="E739" s="12"/>
    </row>
    <row r="740">
      <c r="B740" s="38"/>
      <c r="C740" s="12"/>
      <c r="D740" s="12"/>
      <c r="E740" s="12"/>
    </row>
    <row r="741">
      <c r="B741" s="38"/>
      <c r="C741" s="12"/>
      <c r="D741" s="12"/>
      <c r="E741" s="12"/>
    </row>
    <row r="742">
      <c r="B742" s="38"/>
      <c r="C742" s="12"/>
      <c r="D742" s="12"/>
      <c r="E742" s="12"/>
    </row>
    <row r="743">
      <c r="B743" s="38"/>
      <c r="C743" s="12"/>
      <c r="D743" s="12"/>
      <c r="E743" s="12"/>
    </row>
    <row r="744">
      <c r="B744" s="38"/>
      <c r="C744" s="12"/>
      <c r="D744" s="12"/>
      <c r="E744" s="12"/>
    </row>
    <row r="745">
      <c r="B745" s="38"/>
      <c r="C745" s="12"/>
      <c r="D745" s="12"/>
      <c r="E745" s="12"/>
    </row>
    <row r="746">
      <c r="B746" s="38"/>
      <c r="C746" s="12"/>
      <c r="D746" s="12"/>
      <c r="E746" s="12"/>
    </row>
    <row r="747">
      <c r="B747" s="38"/>
      <c r="C747" s="12"/>
      <c r="D747" s="12"/>
      <c r="E747" s="12"/>
    </row>
    <row r="748">
      <c r="B748" s="38"/>
      <c r="C748" s="12"/>
      <c r="D748" s="12"/>
      <c r="E748" s="12"/>
    </row>
    <row r="749">
      <c r="B749" s="38"/>
      <c r="C749" s="12"/>
      <c r="D749" s="12"/>
      <c r="E749" s="12"/>
    </row>
    <row r="750">
      <c r="B750" s="38"/>
      <c r="C750" s="12"/>
      <c r="D750" s="12"/>
      <c r="E750" s="12"/>
    </row>
    <row r="751">
      <c r="B751" s="38"/>
      <c r="C751" s="12"/>
      <c r="D751" s="12"/>
      <c r="E751" s="12"/>
    </row>
    <row r="752">
      <c r="B752" s="38"/>
      <c r="C752" s="12"/>
      <c r="D752" s="12"/>
      <c r="E752" s="12"/>
    </row>
    <row r="753">
      <c r="B753" s="38"/>
      <c r="C753" s="12"/>
      <c r="D753" s="12"/>
      <c r="E753" s="12"/>
    </row>
    <row r="754">
      <c r="B754" s="38"/>
      <c r="C754" s="12"/>
      <c r="D754" s="12"/>
      <c r="E754" s="12"/>
    </row>
    <row r="755">
      <c r="B755" s="38"/>
      <c r="C755" s="12"/>
      <c r="D755" s="12"/>
      <c r="E755" s="12"/>
    </row>
    <row r="756">
      <c r="B756" s="38"/>
      <c r="C756" s="12"/>
      <c r="D756" s="12"/>
      <c r="E756" s="12"/>
    </row>
    <row r="757">
      <c r="B757" s="38"/>
      <c r="C757" s="12"/>
      <c r="D757" s="12"/>
      <c r="E757" s="12"/>
    </row>
    <row r="758">
      <c r="B758" s="38"/>
      <c r="C758" s="12"/>
      <c r="D758" s="12"/>
      <c r="E758" s="12"/>
    </row>
    <row r="759">
      <c r="B759" s="38"/>
      <c r="C759" s="12"/>
      <c r="D759" s="12"/>
      <c r="E759" s="12"/>
    </row>
    <row r="760">
      <c r="B760" s="38"/>
      <c r="C760" s="12"/>
      <c r="D760" s="12"/>
      <c r="E760" s="12"/>
    </row>
    <row r="761">
      <c r="B761" s="38"/>
      <c r="C761" s="12"/>
      <c r="D761" s="12"/>
      <c r="E761" s="12"/>
    </row>
    <row r="762">
      <c r="B762" s="38"/>
      <c r="C762" s="12"/>
      <c r="D762" s="12"/>
      <c r="E762" s="12"/>
    </row>
    <row r="763">
      <c r="B763" s="38"/>
      <c r="C763" s="12"/>
      <c r="D763" s="12"/>
      <c r="E763" s="12"/>
    </row>
    <row r="764">
      <c r="B764" s="38"/>
      <c r="C764" s="12"/>
      <c r="D764" s="12"/>
      <c r="E764" s="12"/>
    </row>
    <row r="765">
      <c r="B765" s="38"/>
      <c r="C765" s="12"/>
      <c r="D765" s="12"/>
      <c r="E765" s="12"/>
    </row>
    <row r="766">
      <c r="B766" s="38"/>
      <c r="C766" s="12"/>
      <c r="D766" s="12"/>
      <c r="E766" s="12"/>
    </row>
    <row r="767">
      <c r="B767" s="38"/>
      <c r="C767" s="12"/>
      <c r="D767" s="12"/>
      <c r="E767" s="12"/>
    </row>
    <row r="768">
      <c r="B768" s="38"/>
      <c r="C768" s="12"/>
      <c r="D768" s="12"/>
      <c r="E768" s="12"/>
    </row>
    <row r="769">
      <c r="B769" s="38"/>
      <c r="C769" s="12"/>
      <c r="D769" s="12"/>
      <c r="E769" s="12"/>
    </row>
    <row r="770">
      <c r="B770" s="38"/>
      <c r="C770" s="12"/>
      <c r="D770" s="12"/>
      <c r="E770" s="12"/>
    </row>
    <row r="771">
      <c r="B771" s="38"/>
      <c r="C771" s="12"/>
      <c r="D771" s="12"/>
      <c r="E771" s="12"/>
    </row>
    <row r="772">
      <c r="B772" s="38"/>
      <c r="C772" s="12"/>
      <c r="D772" s="12"/>
      <c r="E772" s="12"/>
    </row>
    <row r="773">
      <c r="B773" s="38"/>
      <c r="C773" s="12"/>
      <c r="D773" s="12"/>
      <c r="E773" s="12"/>
    </row>
    <row r="774">
      <c r="B774" s="38"/>
      <c r="C774" s="12"/>
      <c r="D774" s="12"/>
      <c r="E774" s="12"/>
    </row>
    <row r="775">
      <c r="B775" s="38"/>
      <c r="C775" s="12"/>
      <c r="D775" s="12"/>
      <c r="E775" s="12"/>
    </row>
    <row r="776">
      <c r="B776" s="38"/>
      <c r="C776" s="12"/>
      <c r="D776" s="12"/>
      <c r="E776" s="12"/>
    </row>
    <row r="777">
      <c r="B777" s="38"/>
      <c r="C777" s="12"/>
      <c r="D777" s="12"/>
      <c r="E777" s="12"/>
    </row>
    <row r="778">
      <c r="B778" s="38"/>
      <c r="C778" s="12"/>
      <c r="D778" s="12"/>
      <c r="E778" s="12"/>
    </row>
    <row r="779">
      <c r="B779" s="38"/>
      <c r="C779" s="12"/>
      <c r="D779" s="12"/>
      <c r="E779" s="12"/>
    </row>
    <row r="780">
      <c r="B780" s="38"/>
      <c r="C780" s="12"/>
      <c r="D780" s="12"/>
      <c r="E780" s="12"/>
    </row>
    <row r="781">
      <c r="B781" s="38"/>
      <c r="C781" s="12"/>
      <c r="D781" s="12"/>
      <c r="E781" s="12"/>
    </row>
    <row r="782">
      <c r="B782" s="38"/>
      <c r="C782" s="12"/>
      <c r="D782" s="12"/>
      <c r="E782" s="12"/>
    </row>
    <row r="783">
      <c r="B783" s="38"/>
      <c r="C783" s="12"/>
      <c r="D783" s="12"/>
      <c r="E783" s="12"/>
    </row>
    <row r="784">
      <c r="B784" s="38"/>
      <c r="C784" s="12"/>
      <c r="D784" s="12"/>
      <c r="E784" s="12"/>
    </row>
    <row r="785">
      <c r="B785" s="38"/>
      <c r="C785" s="12"/>
      <c r="D785" s="12"/>
      <c r="E785" s="12"/>
    </row>
    <row r="786">
      <c r="B786" s="38"/>
      <c r="C786" s="12"/>
      <c r="D786" s="12"/>
      <c r="E786" s="12"/>
    </row>
    <row r="787">
      <c r="B787" s="38"/>
      <c r="C787" s="12"/>
      <c r="D787" s="12"/>
      <c r="E787" s="12"/>
    </row>
    <row r="788">
      <c r="B788" s="38"/>
      <c r="C788" s="12"/>
      <c r="D788" s="12"/>
      <c r="E788" s="12"/>
    </row>
    <row r="789">
      <c r="B789" s="38"/>
      <c r="C789" s="12"/>
      <c r="D789" s="12"/>
      <c r="E789" s="12"/>
    </row>
    <row r="790">
      <c r="B790" s="38"/>
      <c r="C790" s="12"/>
      <c r="D790" s="12"/>
      <c r="E790" s="12"/>
    </row>
    <row r="791">
      <c r="B791" s="38"/>
      <c r="C791" s="12"/>
      <c r="D791" s="12"/>
      <c r="E791" s="12"/>
    </row>
    <row r="792">
      <c r="B792" s="38"/>
      <c r="C792" s="12"/>
      <c r="D792" s="12"/>
      <c r="E792" s="12"/>
    </row>
    <row r="793">
      <c r="B793" s="38"/>
      <c r="C793" s="12"/>
      <c r="D793" s="12"/>
      <c r="E793" s="12"/>
    </row>
    <row r="794">
      <c r="B794" s="38"/>
      <c r="C794" s="12"/>
      <c r="D794" s="12"/>
      <c r="E794" s="12"/>
    </row>
    <row r="795">
      <c r="B795" s="38"/>
      <c r="C795" s="12"/>
      <c r="D795" s="12"/>
      <c r="E795" s="12"/>
    </row>
    <row r="796">
      <c r="B796" s="38"/>
      <c r="C796" s="12"/>
      <c r="D796" s="12"/>
      <c r="E796" s="12"/>
    </row>
    <row r="797">
      <c r="B797" s="38"/>
      <c r="C797" s="12"/>
      <c r="D797" s="12"/>
      <c r="E797" s="12"/>
    </row>
    <row r="798">
      <c r="B798" s="38"/>
      <c r="C798" s="12"/>
      <c r="D798" s="12"/>
      <c r="E798" s="12"/>
    </row>
    <row r="799">
      <c r="B799" s="38"/>
      <c r="C799" s="12"/>
      <c r="D799" s="12"/>
      <c r="E799" s="12"/>
    </row>
    <row r="800">
      <c r="B800" s="38"/>
      <c r="C800" s="12"/>
      <c r="D800" s="12"/>
      <c r="E800" s="12"/>
    </row>
    <row r="801">
      <c r="B801" s="38"/>
      <c r="C801" s="12"/>
      <c r="D801" s="12"/>
      <c r="E801" s="12"/>
    </row>
    <row r="802">
      <c r="B802" s="38"/>
      <c r="C802" s="12"/>
      <c r="D802" s="12"/>
      <c r="E802" s="12"/>
    </row>
    <row r="803">
      <c r="B803" s="38"/>
      <c r="C803" s="12"/>
      <c r="D803" s="12"/>
      <c r="E803" s="12"/>
    </row>
    <row r="804">
      <c r="B804" s="38"/>
      <c r="C804" s="12"/>
      <c r="D804" s="12"/>
      <c r="E804" s="12"/>
    </row>
    <row r="805">
      <c r="B805" s="38"/>
      <c r="C805" s="12"/>
      <c r="D805" s="12"/>
      <c r="E805" s="12"/>
    </row>
    <row r="806">
      <c r="B806" s="38"/>
      <c r="C806" s="12"/>
      <c r="D806" s="12"/>
      <c r="E806" s="12"/>
    </row>
    <row r="807">
      <c r="B807" s="38"/>
      <c r="C807" s="12"/>
      <c r="D807" s="12"/>
      <c r="E807" s="12"/>
    </row>
    <row r="808">
      <c r="B808" s="38"/>
      <c r="C808" s="12"/>
      <c r="D808" s="12"/>
      <c r="E808" s="12"/>
    </row>
    <row r="809">
      <c r="B809" s="38"/>
      <c r="C809" s="12"/>
      <c r="D809" s="12"/>
      <c r="E809" s="12"/>
    </row>
    <row r="810">
      <c r="B810" s="38"/>
      <c r="C810" s="12"/>
      <c r="D810" s="12"/>
      <c r="E810" s="12"/>
    </row>
    <row r="811">
      <c r="B811" s="38"/>
      <c r="C811" s="12"/>
      <c r="D811" s="12"/>
      <c r="E811" s="12"/>
    </row>
    <row r="812">
      <c r="B812" s="38"/>
      <c r="C812" s="12"/>
      <c r="D812" s="12"/>
      <c r="E812" s="12"/>
    </row>
    <row r="813">
      <c r="B813" s="38"/>
      <c r="C813" s="12"/>
      <c r="D813" s="12"/>
      <c r="E813" s="12"/>
    </row>
    <row r="814">
      <c r="B814" s="38"/>
      <c r="C814" s="12"/>
      <c r="D814" s="12"/>
      <c r="E814" s="12"/>
    </row>
    <row r="815">
      <c r="B815" s="38"/>
      <c r="C815" s="12"/>
      <c r="D815" s="12"/>
      <c r="E815" s="12"/>
    </row>
    <row r="816">
      <c r="B816" s="38"/>
      <c r="C816" s="12"/>
      <c r="D816" s="12"/>
      <c r="E816" s="12"/>
    </row>
    <row r="817">
      <c r="B817" s="38"/>
      <c r="C817" s="12"/>
      <c r="D817" s="12"/>
      <c r="E817" s="12"/>
    </row>
    <row r="818">
      <c r="B818" s="38"/>
      <c r="C818" s="12"/>
      <c r="D818" s="12"/>
      <c r="E818" s="12"/>
    </row>
    <row r="819">
      <c r="B819" s="38"/>
      <c r="C819" s="12"/>
      <c r="D819" s="12"/>
      <c r="E819" s="12"/>
    </row>
    <row r="820">
      <c r="B820" s="38"/>
      <c r="C820" s="12"/>
      <c r="D820" s="12"/>
      <c r="E820" s="12"/>
    </row>
    <row r="821">
      <c r="B821" s="38"/>
      <c r="C821" s="12"/>
      <c r="D821" s="12"/>
      <c r="E821" s="12"/>
    </row>
    <row r="822">
      <c r="B822" s="38"/>
      <c r="C822" s="12"/>
      <c r="D822" s="12"/>
      <c r="E822" s="12"/>
    </row>
    <row r="823">
      <c r="B823" s="38"/>
      <c r="C823" s="12"/>
      <c r="D823" s="12"/>
      <c r="E823" s="12"/>
    </row>
    <row r="824">
      <c r="B824" s="38"/>
      <c r="C824" s="12"/>
      <c r="D824" s="12"/>
      <c r="E824" s="12"/>
    </row>
    <row r="825">
      <c r="B825" s="38"/>
      <c r="C825" s="12"/>
      <c r="D825" s="12"/>
      <c r="E825" s="12"/>
    </row>
    <row r="826">
      <c r="B826" s="38"/>
      <c r="C826" s="12"/>
      <c r="D826" s="12"/>
      <c r="E826" s="12"/>
    </row>
    <row r="827">
      <c r="B827" s="38"/>
      <c r="C827" s="12"/>
      <c r="D827" s="12"/>
      <c r="E827" s="12"/>
    </row>
    <row r="828">
      <c r="B828" s="38"/>
      <c r="C828" s="12"/>
      <c r="D828" s="12"/>
      <c r="E828" s="12"/>
    </row>
    <row r="829">
      <c r="B829" s="38"/>
      <c r="C829" s="12"/>
      <c r="D829" s="12"/>
      <c r="E829" s="12"/>
    </row>
    <row r="830">
      <c r="B830" s="38"/>
      <c r="C830" s="12"/>
      <c r="D830" s="12"/>
      <c r="E830" s="12"/>
    </row>
    <row r="831">
      <c r="B831" s="38"/>
      <c r="C831" s="12"/>
      <c r="D831" s="12"/>
      <c r="E831" s="12"/>
    </row>
    <row r="832">
      <c r="B832" s="38"/>
      <c r="C832" s="12"/>
      <c r="D832" s="12"/>
      <c r="E832" s="12"/>
    </row>
    <row r="833">
      <c r="B833" s="38"/>
      <c r="C833" s="12"/>
      <c r="D833" s="12"/>
      <c r="E833" s="12"/>
    </row>
    <row r="834">
      <c r="B834" s="38"/>
      <c r="C834" s="12"/>
      <c r="D834" s="12"/>
      <c r="E834" s="12"/>
    </row>
    <row r="835">
      <c r="B835" s="38"/>
      <c r="C835" s="12"/>
      <c r="D835" s="12"/>
      <c r="E835" s="12"/>
    </row>
    <row r="836">
      <c r="B836" s="38"/>
      <c r="C836" s="12"/>
      <c r="D836" s="12"/>
      <c r="E836" s="12"/>
    </row>
    <row r="837">
      <c r="B837" s="38"/>
      <c r="C837" s="12"/>
      <c r="D837" s="12"/>
      <c r="E837" s="12"/>
    </row>
    <row r="838">
      <c r="B838" s="38"/>
      <c r="C838" s="12"/>
      <c r="D838" s="12"/>
      <c r="E838" s="12"/>
    </row>
    <row r="839">
      <c r="B839" s="38"/>
      <c r="C839" s="12"/>
      <c r="D839" s="12"/>
      <c r="E839" s="12"/>
    </row>
    <row r="840">
      <c r="B840" s="38"/>
      <c r="C840" s="12"/>
      <c r="D840" s="12"/>
      <c r="E840" s="12"/>
    </row>
    <row r="841">
      <c r="B841" s="38"/>
      <c r="C841" s="12"/>
      <c r="D841" s="12"/>
      <c r="E841" s="12"/>
    </row>
    <row r="842">
      <c r="B842" s="38"/>
      <c r="C842" s="12"/>
      <c r="D842" s="12"/>
      <c r="E842" s="12"/>
    </row>
    <row r="843">
      <c r="B843" s="38"/>
      <c r="C843" s="12"/>
      <c r="D843" s="12"/>
      <c r="E843" s="12"/>
    </row>
    <row r="844">
      <c r="B844" s="38"/>
      <c r="C844" s="12"/>
      <c r="D844" s="12"/>
      <c r="E844" s="12"/>
    </row>
    <row r="845">
      <c r="B845" s="38"/>
      <c r="C845" s="12"/>
      <c r="D845" s="12"/>
      <c r="E845" s="12"/>
    </row>
    <row r="846">
      <c r="B846" s="38"/>
      <c r="C846" s="12"/>
      <c r="D846" s="12"/>
      <c r="E846" s="12"/>
    </row>
    <row r="847">
      <c r="B847" s="38"/>
      <c r="C847" s="12"/>
      <c r="D847" s="12"/>
      <c r="E847" s="12"/>
    </row>
    <row r="848">
      <c r="B848" s="38"/>
      <c r="C848" s="12"/>
      <c r="D848" s="12"/>
      <c r="E848" s="12"/>
    </row>
    <row r="849">
      <c r="B849" s="38"/>
      <c r="C849" s="12"/>
      <c r="D849" s="12"/>
      <c r="E849" s="12"/>
    </row>
    <row r="850">
      <c r="B850" s="38"/>
      <c r="C850" s="12"/>
      <c r="D850" s="12"/>
      <c r="E850" s="12"/>
    </row>
    <row r="851">
      <c r="B851" s="38"/>
      <c r="C851" s="12"/>
      <c r="D851" s="12"/>
      <c r="E851" s="12"/>
    </row>
    <row r="852">
      <c r="B852" s="38"/>
      <c r="C852" s="12"/>
      <c r="D852" s="12"/>
      <c r="E852" s="12"/>
    </row>
    <row r="853">
      <c r="B853" s="38"/>
      <c r="C853" s="12"/>
      <c r="D853" s="12"/>
      <c r="E853" s="12"/>
    </row>
    <row r="854">
      <c r="B854" s="38"/>
      <c r="C854" s="12"/>
      <c r="D854" s="12"/>
      <c r="E854" s="12"/>
    </row>
    <row r="855">
      <c r="B855" s="38"/>
      <c r="C855" s="12"/>
      <c r="D855" s="12"/>
      <c r="E855" s="12"/>
    </row>
    <row r="856">
      <c r="B856" s="38"/>
      <c r="C856" s="12"/>
      <c r="D856" s="12"/>
      <c r="E856" s="12"/>
    </row>
    <row r="857">
      <c r="B857" s="38"/>
      <c r="C857" s="12"/>
      <c r="D857" s="12"/>
      <c r="E857" s="12"/>
    </row>
    <row r="858">
      <c r="B858" s="38"/>
      <c r="C858" s="12"/>
      <c r="D858" s="12"/>
      <c r="E858" s="12"/>
    </row>
    <row r="859">
      <c r="B859" s="38"/>
      <c r="C859" s="12"/>
      <c r="D859" s="12"/>
      <c r="E859" s="12"/>
    </row>
    <row r="860">
      <c r="B860" s="38"/>
      <c r="C860" s="12"/>
      <c r="D860" s="12"/>
      <c r="E860" s="12"/>
    </row>
    <row r="861">
      <c r="B861" s="38"/>
      <c r="C861" s="12"/>
      <c r="D861" s="12"/>
      <c r="E861" s="12"/>
    </row>
    <row r="862">
      <c r="B862" s="38"/>
      <c r="C862" s="12"/>
      <c r="D862" s="12"/>
      <c r="E862" s="12"/>
    </row>
    <row r="863">
      <c r="B863" s="38"/>
      <c r="C863" s="12"/>
      <c r="D863" s="12"/>
      <c r="E863" s="12"/>
    </row>
    <row r="864">
      <c r="B864" s="38"/>
      <c r="C864" s="12"/>
      <c r="D864" s="12"/>
      <c r="E864" s="12"/>
    </row>
    <row r="865">
      <c r="B865" s="38"/>
      <c r="C865" s="12"/>
      <c r="D865" s="12"/>
      <c r="E865" s="12"/>
    </row>
    <row r="866">
      <c r="B866" s="38"/>
      <c r="C866" s="12"/>
      <c r="D866" s="12"/>
      <c r="E866" s="12"/>
    </row>
    <row r="867">
      <c r="B867" s="38"/>
      <c r="C867" s="12"/>
      <c r="D867" s="12"/>
      <c r="E867" s="12"/>
    </row>
    <row r="868">
      <c r="B868" s="38"/>
      <c r="C868" s="12"/>
      <c r="D868" s="12"/>
      <c r="E868" s="12"/>
    </row>
    <row r="869">
      <c r="B869" s="38"/>
      <c r="C869" s="12"/>
      <c r="D869" s="12"/>
      <c r="E869" s="12"/>
    </row>
    <row r="870">
      <c r="B870" s="38"/>
      <c r="C870" s="12"/>
      <c r="D870" s="12"/>
      <c r="E870" s="12"/>
    </row>
    <row r="871">
      <c r="B871" s="38"/>
      <c r="C871" s="12"/>
      <c r="D871" s="12"/>
      <c r="E871" s="12"/>
    </row>
    <row r="872">
      <c r="B872" s="38"/>
      <c r="C872" s="12"/>
      <c r="D872" s="12"/>
      <c r="E872" s="12"/>
    </row>
    <row r="873">
      <c r="B873" s="38"/>
      <c r="C873" s="12"/>
      <c r="D873" s="12"/>
      <c r="E873" s="12"/>
    </row>
    <row r="874">
      <c r="B874" s="38"/>
      <c r="C874" s="12"/>
      <c r="D874" s="12"/>
      <c r="E874" s="12"/>
    </row>
    <row r="875">
      <c r="B875" s="38"/>
      <c r="C875" s="12"/>
      <c r="D875" s="12"/>
      <c r="E875" s="12"/>
    </row>
    <row r="876">
      <c r="B876" s="38"/>
      <c r="C876" s="12"/>
      <c r="D876" s="12"/>
      <c r="E876" s="12"/>
    </row>
    <row r="877">
      <c r="B877" s="38"/>
      <c r="C877" s="12"/>
      <c r="D877" s="12"/>
      <c r="E877" s="12"/>
    </row>
    <row r="878">
      <c r="B878" s="38"/>
      <c r="C878" s="12"/>
      <c r="D878" s="12"/>
      <c r="E878" s="12"/>
    </row>
    <row r="879">
      <c r="B879" s="38"/>
      <c r="C879" s="12"/>
      <c r="D879" s="12"/>
      <c r="E879" s="12"/>
    </row>
    <row r="880">
      <c r="B880" s="38"/>
      <c r="C880" s="12"/>
      <c r="D880" s="12"/>
      <c r="E880" s="12"/>
    </row>
    <row r="881">
      <c r="B881" s="38"/>
      <c r="C881" s="12"/>
      <c r="D881" s="12"/>
      <c r="E881" s="12"/>
    </row>
    <row r="882">
      <c r="B882" s="38"/>
      <c r="C882" s="12"/>
      <c r="D882" s="12"/>
      <c r="E882" s="12"/>
    </row>
    <row r="883">
      <c r="B883" s="38"/>
      <c r="C883" s="12"/>
      <c r="D883" s="12"/>
      <c r="E883" s="12"/>
    </row>
    <row r="884">
      <c r="B884" s="38"/>
      <c r="C884" s="12"/>
      <c r="D884" s="12"/>
      <c r="E884" s="12"/>
    </row>
    <row r="885">
      <c r="B885" s="38"/>
      <c r="C885" s="12"/>
      <c r="D885" s="12"/>
      <c r="E885" s="12"/>
    </row>
    <row r="886">
      <c r="B886" s="38"/>
      <c r="C886" s="12"/>
      <c r="D886" s="12"/>
      <c r="E886" s="12"/>
    </row>
    <row r="887">
      <c r="B887" s="38"/>
      <c r="C887" s="12"/>
      <c r="D887" s="12"/>
      <c r="E887" s="12"/>
    </row>
    <row r="888">
      <c r="B888" s="38"/>
      <c r="C888" s="12"/>
      <c r="D888" s="12"/>
      <c r="E888" s="12"/>
    </row>
    <row r="889">
      <c r="B889" s="38"/>
      <c r="C889" s="12"/>
      <c r="D889" s="12"/>
      <c r="E889" s="12"/>
    </row>
    <row r="890">
      <c r="B890" s="38"/>
      <c r="C890" s="12"/>
      <c r="D890" s="12"/>
      <c r="E890" s="12"/>
    </row>
    <row r="891">
      <c r="B891" s="38"/>
      <c r="C891" s="12"/>
      <c r="D891" s="12"/>
      <c r="E891" s="12"/>
    </row>
    <row r="892">
      <c r="B892" s="38"/>
      <c r="C892" s="12"/>
      <c r="D892" s="12"/>
      <c r="E892" s="12"/>
    </row>
    <row r="893">
      <c r="B893" s="38"/>
      <c r="C893" s="12"/>
      <c r="D893" s="12"/>
      <c r="E893" s="12"/>
    </row>
    <row r="894">
      <c r="B894" s="38"/>
      <c r="C894" s="12"/>
      <c r="D894" s="12"/>
      <c r="E894" s="12"/>
    </row>
    <row r="895">
      <c r="B895" s="38"/>
      <c r="C895" s="12"/>
      <c r="D895" s="12"/>
      <c r="E895" s="12"/>
    </row>
    <row r="896">
      <c r="B896" s="38"/>
      <c r="C896" s="12"/>
      <c r="D896" s="12"/>
      <c r="E896" s="12"/>
    </row>
    <row r="897">
      <c r="B897" s="38"/>
      <c r="C897" s="12"/>
      <c r="D897" s="12"/>
      <c r="E897" s="12"/>
    </row>
    <row r="898">
      <c r="B898" s="38"/>
      <c r="C898" s="12"/>
      <c r="D898" s="12"/>
      <c r="E898" s="12"/>
    </row>
    <row r="899">
      <c r="B899" s="38"/>
      <c r="C899" s="12"/>
      <c r="D899" s="12"/>
      <c r="E899" s="12"/>
    </row>
    <row r="900">
      <c r="B900" s="38"/>
      <c r="C900" s="12"/>
      <c r="D900" s="12"/>
      <c r="E900" s="12"/>
    </row>
    <row r="901">
      <c r="B901" s="38"/>
      <c r="C901" s="12"/>
      <c r="D901" s="12"/>
      <c r="E901" s="12"/>
    </row>
    <row r="902">
      <c r="B902" s="38"/>
      <c r="C902" s="12"/>
      <c r="D902" s="12"/>
      <c r="E902" s="12"/>
    </row>
    <row r="903">
      <c r="B903" s="38"/>
      <c r="C903" s="12"/>
      <c r="D903" s="12"/>
      <c r="E903" s="12"/>
    </row>
    <row r="904">
      <c r="B904" s="38"/>
      <c r="C904" s="12"/>
      <c r="D904" s="12"/>
      <c r="E904" s="12"/>
    </row>
    <row r="905">
      <c r="B905" s="38"/>
      <c r="C905" s="12"/>
      <c r="D905" s="12"/>
      <c r="E905" s="12"/>
    </row>
    <row r="906">
      <c r="B906" s="38"/>
      <c r="C906" s="12"/>
      <c r="D906" s="12"/>
      <c r="E906" s="12"/>
    </row>
    <row r="907">
      <c r="B907" s="38"/>
      <c r="C907" s="12"/>
      <c r="D907" s="12"/>
      <c r="E907" s="12"/>
    </row>
    <row r="908">
      <c r="B908" s="38"/>
      <c r="C908" s="12"/>
      <c r="D908" s="12"/>
      <c r="E908" s="12"/>
    </row>
    <row r="909">
      <c r="B909" s="38"/>
      <c r="C909" s="12"/>
      <c r="D909" s="12"/>
      <c r="E909" s="12"/>
    </row>
    <row r="910">
      <c r="B910" s="38"/>
      <c r="C910" s="12"/>
      <c r="D910" s="12"/>
      <c r="E910" s="12"/>
    </row>
    <row r="911">
      <c r="B911" s="38"/>
      <c r="C911" s="12"/>
      <c r="D911" s="12"/>
      <c r="E911" s="12"/>
    </row>
    <row r="912">
      <c r="B912" s="38"/>
      <c r="C912" s="12"/>
      <c r="D912" s="12"/>
      <c r="E912" s="12"/>
    </row>
    <row r="913">
      <c r="B913" s="38"/>
      <c r="C913" s="12"/>
      <c r="D913" s="12"/>
      <c r="E913" s="12"/>
    </row>
    <row r="914">
      <c r="B914" s="38"/>
      <c r="C914" s="12"/>
      <c r="D914" s="12"/>
      <c r="E914" s="12"/>
    </row>
    <row r="915">
      <c r="B915" s="38"/>
      <c r="C915" s="12"/>
      <c r="D915" s="12"/>
      <c r="E915" s="12"/>
    </row>
    <row r="916">
      <c r="B916" s="38"/>
      <c r="C916" s="12"/>
      <c r="D916" s="12"/>
      <c r="E916" s="12"/>
    </row>
    <row r="917">
      <c r="B917" s="38"/>
      <c r="C917" s="12"/>
      <c r="D917" s="12"/>
      <c r="E917" s="12"/>
    </row>
    <row r="918">
      <c r="B918" s="38"/>
      <c r="C918" s="12"/>
      <c r="D918" s="12"/>
      <c r="E918" s="12"/>
    </row>
    <row r="919">
      <c r="B919" s="38"/>
      <c r="C919" s="12"/>
      <c r="D919" s="12"/>
      <c r="E919" s="12"/>
    </row>
    <row r="920">
      <c r="B920" s="38"/>
      <c r="C920" s="12"/>
      <c r="D920" s="12"/>
      <c r="E920" s="12"/>
    </row>
    <row r="921">
      <c r="B921" s="38"/>
      <c r="C921" s="12"/>
      <c r="D921" s="12"/>
      <c r="E921" s="12"/>
    </row>
    <row r="922">
      <c r="B922" s="38"/>
      <c r="C922" s="12"/>
      <c r="D922" s="12"/>
      <c r="E922" s="12"/>
    </row>
    <row r="923">
      <c r="B923" s="38"/>
      <c r="C923" s="12"/>
      <c r="D923" s="12"/>
      <c r="E923" s="12"/>
    </row>
    <row r="924">
      <c r="B924" s="38"/>
      <c r="C924" s="12"/>
      <c r="D924" s="12"/>
      <c r="E924" s="12"/>
    </row>
    <row r="925">
      <c r="B925" s="38"/>
      <c r="C925" s="12"/>
      <c r="D925" s="12"/>
      <c r="E925" s="12"/>
    </row>
    <row r="926">
      <c r="B926" s="38"/>
      <c r="C926" s="12"/>
      <c r="D926" s="12"/>
      <c r="E926" s="12"/>
    </row>
    <row r="927">
      <c r="B927" s="38"/>
      <c r="C927" s="12"/>
      <c r="D927" s="12"/>
      <c r="E927" s="12"/>
    </row>
    <row r="928">
      <c r="B928" s="38"/>
      <c r="C928" s="12"/>
      <c r="D928" s="12"/>
      <c r="E928" s="12"/>
    </row>
    <row r="929">
      <c r="B929" s="38"/>
      <c r="C929" s="12"/>
      <c r="D929" s="12"/>
      <c r="E929" s="12"/>
    </row>
    <row r="930">
      <c r="B930" s="38"/>
      <c r="C930" s="12"/>
      <c r="D930" s="12"/>
      <c r="E930" s="12"/>
    </row>
    <row r="931">
      <c r="B931" s="38"/>
      <c r="C931" s="12"/>
      <c r="D931" s="12"/>
      <c r="E931" s="12"/>
    </row>
    <row r="932">
      <c r="B932" s="38"/>
      <c r="C932" s="12"/>
      <c r="D932" s="12"/>
      <c r="E932" s="12"/>
    </row>
    <row r="933">
      <c r="B933" s="38"/>
      <c r="C933" s="12"/>
      <c r="D933" s="12"/>
      <c r="E933" s="12"/>
    </row>
    <row r="934">
      <c r="B934" s="38"/>
      <c r="C934" s="12"/>
      <c r="D934" s="12"/>
      <c r="E934" s="12"/>
    </row>
    <row r="935">
      <c r="B935" s="38"/>
      <c r="C935" s="12"/>
      <c r="D935" s="12"/>
      <c r="E935" s="12"/>
    </row>
    <row r="936">
      <c r="B936" s="38"/>
      <c r="C936" s="12"/>
      <c r="D936" s="12"/>
      <c r="E936" s="12"/>
    </row>
    <row r="937">
      <c r="B937" s="38"/>
      <c r="C937" s="12"/>
      <c r="D937" s="12"/>
      <c r="E937" s="12"/>
    </row>
    <row r="938">
      <c r="B938" s="38"/>
      <c r="C938" s="12"/>
      <c r="D938" s="12"/>
      <c r="E938" s="12"/>
    </row>
    <row r="939">
      <c r="B939" s="38"/>
      <c r="C939" s="12"/>
      <c r="D939" s="12"/>
      <c r="E939" s="12"/>
    </row>
    <row r="940">
      <c r="B940" s="38"/>
      <c r="C940" s="12"/>
      <c r="D940" s="12"/>
      <c r="E940" s="12"/>
    </row>
    <row r="941">
      <c r="B941" s="38"/>
      <c r="C941" s="12"/>
      <c r="D941" s="12"/>
      <c r="E941" s="12"/>
    </row>
    <row r="942">
      <c r="B942" s="38"/>
      <c r="C942" s="12"/>
      <c r="D942" s="12"/>
      <c r="E942" s="12"/>
    </row>
    <row r="943">
      <c r="B943" s="38"/>
      <c r="C943" s="12"/>
      <c r="D943" s="12"/>
      <c r="E943" s="12"/>
    </row>
    <row r="944">
      <c r="B944" s="38"/>
      <c r="C944" s="12"/>
      <c r="D944" s="12"/>
      <c r="E944" s="12"/>
    </row>
    <row r="945">
      <c r="B945" s="38"/>
      <c r="C945" s="12"/>
      <c r="D945" s="12"/>
      <c r="E945" s="12"/>
    </row>
    <row r="946">
      <c r="B946" s="38"/>
      <c r="C946" s="12"/>
      <c r="D946" s="12"/>
      <c r="E946" s="12"/>
    </row>
    <row r="947">
      <c r="B947" s="38"/>
      <c r="C947" s="12"/>
      <c r="D947" s="12"/>
      <c r="E947" s="12"/>
    </row>
    <row r="948">
      <c r="B948" s="38"/>
      <c r="C948" s="12"/>
      <c r="D948" s="12"/>
      <c r="E948" s="12"/>
    </row>
    <row r="949">
      <c r="B949" s="38"/>
      <c r="C949" s="12"/>
      <c r="D949" s="12"/>
      <c r="E949" s="12"/>
    </row>
    <row r="950">
      <c r="B950" s="38"/>
      <c r="C950" s="12"/>
      <c r="D950" s="12"/>
      <c r="E950" s="12"/>
    </row>
    <row r="951">
      <c r="B951" s="38"/>
      <c r="C951" s="12"/>
      <c r="D951" s="12"/>
      <c r="E951" s="12"/>
    </row>
    <row r="952">
      <c r="B952" s="38"/>
      <c r="C952" s="12"/>
      <c r="D952" s="12"/>
      <c r="E952" s="12"/>
    </row>
    <row r="953">
      <c r="B953" s="38"/>
      <c r="C953" s="12"/>
      <c r="D953" s="12"/>
      <c r="E953" s="12"/>
    </row>
    <row r="954">
      <c r="B954" s="38"/>
      <c r="C954" s="12"/>
      <c r="D954" s="12"/>
      <c r="E954" s="12"/>
    </row>
    <row r="955">
      <c r="B955" s="38"/>
      <c r="C955" s="12"/>
      <c r="D955" s="12"/>
      <c r="E955" s="12"/>
    </row>
    <row r="956">
      <c r="B956" s="38"/>
      <c r="C956" s="12"/>
      <c r="D956" s="12"/>
      <c r="E956" s="12"/>
    </row>
    <row r="957">
      <c r="B957" s="38"/>
      <c r="C957" s="12"/>
      <c r="D957" s="12"/>
      <c r="E957" s="12"/>
    </row>
    <row r="958">
      <c r="B958" s="38"/>
      <c r="C958" s="12"/>
      <c r="D958" s="12"/>
      <c r="E958" s="12"/>
    </row>
    <row r="959">
      <c r="B959" s="38"/>
      <c r="C959" s="12"/>
      <c r="D959" s="12"/>
      <c r="E959" s="12"/>
    </row>
    <row r="960">
      <c r="B960" s="38"/>
      <c r="C960" s="12"/>
      <c r="D960" s="12"/>
      <c r="E960" s="12"/>
    </row>
    <row r="961">
      <c r="B961" s="38"/>
      <c r="C961" s="12"/>
      <c r="D961" s="12"/>
      <c r="E961" s="12"/>
    </row>
    <row r="962">
      <c r="B962" s="38"/>
      <c r="C962" s="12"/>
      <c r="D962" s="12"/>
      <c r="E962" s="12"/>
    </row>
    <row r="963">
      <c r="B963" s="38"/>
      <c r="C963" s="12"/>
      <c r="D963" s="12"/>
      <c r="E963" s="12"/>
    </row>
    <row r="964">
      <c r="B964" s="38"/>
      <c r="C964" s="12"/>
      <c r="D964" s="12"/>
      <c r="E964" s="12"/>
    </row>
    <row r="965">
      <c r="B965" s="38"/>
      <c r="C965" s="12"/>
      <c r="D965" s="12"/>
      <c r="E965" s="12"/>
    </row>
    <row r="966">
      <c r="B966" s="38"/>
      <c r="C966" s="12"/>
      <c r="D966" s="12"/>
      <c r="E966" s="12"/>
    </row>
    <row r="967">
      <c r="B967" s="38"/>
      <c r="C967" s="12"/>
      <c r="D967" s="12"/>
      <c r="E967" s="12"/>
    </row>
    <row r="968">
      <c r="B968" s="38"/>
      <c r="C968" s="12"/>
      <c r="D968" s="12"/>
      <c r="E968" s="12"/>
    </row>
    <row r="969">
      <c r="B969" s="38"/>
      <c r="C969" s="12"/>
      <c r="D969" s="12"/>
      <c r="E969" s="12"/>
    </row>
    <row r="970">
      <c r="B970" s="38"/>
      <c r="C970" s="12"/>
      <c r="D970" s="12"/>
      <c r="E970" s="12"/>
    </row>
    <row r="971">
      <c r="B971" s="38"/>
      <c r="C971" s="12"/>
      <c r="D971" s="12"/>
      <c r="E971" s="12"/>
    </row>
    <row r="972">
      <c r="B972" s="38"/>
      <c r="C972" s="12"/>
      <c r="D972" s="12"/>
      <c r="E972" s="12"/>
    </row>
    <row r="973">
      <c r="B973" s="38"/>
      <c r="C973" s="12"/>
      <c r="D973" s="12"/>
      <c r="E973" s="12"/>
    </row>
    <row r="974">
      <c r="B974" s="38"/>
      <c r="C974" s="12"/>
      <c r="D974" s="12"/>
      <c r="E974" s="12"/>
    </row>
    <row r="975">
      <c r="B975" s="38"/>
      <c r="C975" s="12"/>
      <c r="D975" s="12"/>
      <c r="E975" s="12"/>
    </row>
    <row r="976">
      <c r="B976" s="38"/>
      <c r="C976" s="12"/>
      <c r="D976" s="12"/>
      <c r="E976" s="12"/>
    </row>
    <row r="977">
      <c r="B977" s="38"/>
      <c r="C977" s="12"/>
      <c r="D977" s="12"/>
      <c r="E977" s="12"/>
    </row>
    <row r="978">
      <c r="B978" s="38"/>
      <c r="C978" s="12"/>
      <c r="D978" s="12"/>
      <c r="E978" s="12"/>
    </row>
    <row r="979">
      <c r="B979" s="38"/>
      <c r="C979" s="12"/>
      <c r="D979" s="12"/>
      <c r="E979" s="12"/>
    </row>
    <row r="980">
      <c r="B980" s="38"/>
      <c r="C980" s="12"/>
      <c r="D980" s="12"/>
      <c r="E980" s="12"/>
    </row>
    <row r="981">
      <c r="B981" s="38"/>
      <c r="C981" s="12"/>
      <c r="D981" s="12"/>
      <c r="E981" s="12"/>
    </row>
    <row r="982">
      <c r="B982" s="38"/>
      <c r="C982" s="12"/>
      <c r="D982" s="12"/>
      <c r="E982" s="12"/>
    </row>
    <row r="983">
      <c r="B983" s="38"/>
      <c r="C983" s="12"/>
      <c r="D983" s="12"/>
      <c r="E983" s="12"/>
    </row>
    <row r="984">
      <c r="B984" s="38"/>
      <c r="C984" s="12"/>
      <c r="D984" s="12"/>
      <c r="E984" s="12"/>
    </row>
    <row r="985">
      <c r="B985" s="38"/>
      <c r="C985" s="12"/>
      <c r="D985" s="12"/>
      <c r="E985" s="12"/>
    </row>
    <row r="986">
      <c r="B986" s="38"/>
      <c r="C986" s="12"/>
      <c r="D986" s="12"/>
      <c r="E986" s="12"/>
    </row>
    <row r="987">
      <c r="B987" s="38"/>
      <c r="C987" s="12"/>
      <c r="D987" s="12"/>
      <c r="E987" s="12"/>
    </row>
    <row r="988">
      <c r="B988" s="38"/>
      <c r="C988" s="12"/>
      <c r="D988" s="12"/>
      <c r="E988" s="12"/>
    </row>
    <row r="989">
      <c r="B989" s="38"/>
      <c r="C989" s="12"/>
      <c r="D989" s="12"/>
      <c r="E989" s="12"/>
    </row>
    <row r="990">
      <c r="B990" s="38"/>
      <c r="C990" s="12"/>
      <c r="D990" s="12"/>
      <c r="E990" s="12"/>
    </row>
    <row r="991">
      <c r="B991" s="38"/>
      <c r="C991" s="12"/>
      <c r="D991" s="12"/>
      <c r="E991" s="12"/>
    </row>
    <row r="992">
      <c r="B992" s="38"/>
      <c r="C992" s="12"/>
      <c r="D992" s="12"/>
      <c r="E992" s="12"/>
    </row>
    <row r="993">
      <c r="B993" s="38"/>
      <c r="C993" s="12"/>
      <c r="D993" s="12"/>
      <c r="E993" s="12"/>
    </row>
    <row r="994">
      <c r="B994" s="38"/>
      <c r="C994" s="12"/>
      <c r="D994" s="12"/>
      <c r="E994" s="12"/>
    </row>
    <row r="995">
      <c r="B995" s="38"/>
      <c r="C995" s="12"/>
      <c r="D995" s="12"/>
      <c r="E995" s="12"/>
    </row>
    <row r="996">
      <c r="B996" s="38"/>
      <c r="C996" s="12"/>
      <c r="D996" s="12"/>
      <c r="E996" s="12"/>
    </row>
    <row r="997">
      <c r="B997" s="38"/>
      <c r="C997" s="12"/>
      <c r="D997" s="12"/>
      <c r="E997" s="12"/>
    </row>
    <row r="998">
      <c r="B998" s="38"/>
      <c r="C998" s="12"/>
      <c r="D998" s="12"/>
      <c r="E998" s="12"/>
    </row>
    <row r="999">
      <c r="B999" s="38"/>
      <c r="C999" s="12"/>
      <c r="D999" s="12"/>
      <c r="E999" s="12"/>
    </row>
    <row r="1000">
      <c r="B1000" s="38"/>
      <c r="C1000" s="12"/>
      <c r="D1000" s="12"/>
      <c r="E1000" s="12"/>
    </row>
    <row r="1001">
      <c r="B1001" s="38"/>
      <c r="C1001" s="12"/>
      <c r="D1001" s="12"/>
      <c r="E1001" s="12"/>
    </row>
    <row r="1002">
      <c r="B1002" s="38"/>
      <c r="C1002" s="12"/>
      <c r="D1002" s="12"/>
      <c r="E1002" s="12"/>
    </row>
    <row r="1003">
      <c r="B1003" s="38"/>
      <c r="C1003" s="12"/>
      <c r="D1003" s="12"/>
      <c r="E1003" s="12"/>
    </row>
  </sheetData>
  <mergeCells count="29">
    <mergeCell ref="A2:A6"/>
    <mergeCell ref="A7:A11"/>
    <mergeCell ref="A12:A16"/>
    <mergeCell ref="A17:A21"/>
    <mergeCell ref="A22:A26"/>
    <mergeCell ref="A28:A32"/>
    <mergeCell ref="A33:A37"/>
    <mergeCell ref="A43:A47"/>
    <mergeCell ref="A48:A52"/>
    <mergeCell ref="A53:A57"/>
    <mergeCell ref="A58:A63"/>
    <mergeCell ref="A64:A69"/>
    <mergeCell ref="A70:A75"/>
    <mergeCell ref="A77:A82"/>
    <mergeCell ref="A125:A129"/>
    <mergeCell ref="A130:A134"/>
    <mergeCell ref="A135:A139"/>
    <mergeCell ref="A140:A144"/>
    <mergeCell ref="A145:A149"/>
    <mergeCell ref="A150:A154"/>
    <mergeCell ref="A155:A159"/>
    <mergeCell ref="A160:A164"/>
    <mergeCell ref="A84:A89"/>
    <mergeCell ref="A91:A96"/>
    <mergeCell ref="A98:A102"/>
    <mergeCell ref="A103:A107"/>
    <mergeCell ref="A108:A112"/>
    <mergeCell ref="A113:A117"/>
    <mergeCell ref="A119:A123"/>
  </mergeCells>
  <hyperlinks>
    <hyperlink r:id="rId1" ref="D5"/>
    <hyperlink r:id="rId2" ref="D85"/>
    <hyperlink r:id="rId3" ref="D96"/>
    <hyperlink r:id="rId4" ref="E99"/>
    <hyperlink r:id="rId5" ref="C105"/>
    <hyperlink r:id="rId6" ref="D141"/>
    <hyperlink r:id="rId7" ref="D146"/>
  </hyperlinks>
  <printOptions gridLines="1" horizontalCentered="1"/>
  <pageMargins bottom="0.75" footer="0.0" header="0.0" left="0.7" right="0.7" top="0.75"/>
  <pageSetup fitToHeight="0" paperSize="9" cellComments="atEnd" orientation="landscape" pageOrder="overThenDown"/>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88"/>
    <col customWidth="1" min="3" max="3" width="28.13"/>
    <col customWidth="1" min="4" max="4" width="12.88"/>
    <col customWidth="1" min="5" max="5" width="35.88"/>
    <col customWidth="1" min="6" max="6" width="106.75"/>
    <col customWidth="1" min="7" max="7" width="24.13"/>
  </cols>
  <sheetData>
    <row r="1">
      <c r="A1" s="3" t="s">
        <v>1</v>
      </c>
      <c r="B1" s="3" t="s">
        <v>3</v>
      </c>
      <c r="C1" s="3" t="s">
        <v>4</v>
      </c>
      <c r="D1" s="3" t="s">
        <v>6</v>
      </c>
      <c r="E1" s="6" t="s">
        <v>7</v>
      </c>
      <c r="F1" s="3" t="s">
        <v>9</v>
      </c>
    </row>
    <row r="2">
      <c r="A2" s="9" t="s">
        <v>10</v>
      </c>
      <c r="B2" s="9" t="s">
        <v>12</v>
      </c>
      <c r="C2" s="9" t="s">
        <v>13</v>
      </c>
      <c r="D2" s="9" t="s">
        <v>15</v>
      </c>
      <c r="E2" s="12"/>
      <c r="F2" s="9" t="s">
        <v>19</v>
      </c>
    </row>
    <row r="3">
      <c r="A3" s="9" t="s">
        <v>10</v>
      </c>
      <c r="B3" s="9" t="s">
        <v>22</v>
      </c>
      <c r="C3" s="9" t="s">
        <v>13</v>
      </c>
      <c r="D3" s="9" t="s">
        <v>15</v>
      </c>
      <c r="E3" s="12"/>
      <c r="F3" s="27" t="s">
        <v>26</v>
      </c>
    </row>
    <row r="4">
      <c r="A4" s="9" t="s">
        <v>10</v>
      </c>
      <c r="B4" s="9" t="s">
        <v>43</v>
      </c>
      <c r="C4" s="9" t="s">
        <v>13</v>
      </c>
      <c r="D4" s="9" t="s">
        <v>15</v>
      </c>
      <c r="E4" s="12"/>
      <c r="F4" s="9" t="s">
        <v>49</v>
      </c>
    </row>
    <row r="5">
      <c r="A5" s="9" t="s">
        <v>10</v>
      </c>
      <c r="B5" s="9" t="s">
        <v>53</v>
      </c>
      <c r="C5" s="9" t="s">
        <v>54</v>
      </c>
      <c r="D5" s="9" t="s">
        <v>15</v>
      </c>
      <c r="E5" s="12"/>
      <c r="F5" s="9" t="s">
        <v>59</v>
      </c>
    </row>
    <row r="6">
      <c r="A6" s="9" t="s">
        <v>10</v>
      </c>
      <c r="B6" s="9" t="s">
        <v>61</v>
      </c>
      <c r="C6" s="9" t="s">
        <v>64</v>
      </c>
      <c r="D6" s="9" t="s">
        <v>15</v>
      </c>
      <c r="E6" s="12"/>
      <c r="F6" s="9" t="s">
        <v>68</v>
      </c>
    </row>
    <row r="7">
      <c r="A7" s="9" t="s">
        <v>10</v>
      </c>
      <c r="B7" s="22" t="s">
        <v>74</v>
      </c>
      <c r="C7" s="33" t="s">
        <v>54</v>
      </c>
      <c r="D7" s="33" t="s">
        <v>76</v>
      </c>
      <c r="E7" s="12"/>
      <c r="F7" s="33" t="s">
        <v>77</v>
      </c>
    </row>
    <row r="8">
      <c r="A8" s="9" t="s">
        <v>28</v>
      </c>
      <c r="B8" s="9" t="s">
        <v>12</v>
      </c>
      <c r="C8" s="9" t="s">
        <v>13</v>
      </c>
      <c r="D8" s="9" t="s">
        <v>80</v>
      </c>
      <c r="E8" s="22" t="s">
        <v>82</v>
      </c>
    </row>
    <row r="9">
      <c r="A9" s="9" t="s">
        <v>28</v>
      </c>
      <c r="B9" s="9" t="s">
        <v>84</v>
      </c>
      <c r="C9" s="9" t="s">
        <v>85</v>
      </c>
      <c r="D9" s="9" t="s">
        <v>86</v>
      </c>
      <c r="E9" s="22" t="s">
        <v>89</v>
      </c>
      <c r="F9" s="9" t="s">
        <v>91</v>
      </c>
    </row>
    <row r="10">
      <c r="A10" s="9" t="s">
        <v>28</v>
      </c>
      <c r="B10" s="9" t="s">
        <v>92</v>
      </c>
      <c r="C10" s="9" t="s">
        <v>85</v>
      </c>
      <c r="D10" s="9" t="s">
        <v>86</v>
      </c>
      <c r="E10" s="22" t="s">
        <v>95</v>
      </c>
      <c r="F10" s="9" t="s">
        <v>96</v>
      </c>
    </row>
    <row r="11">
      <c r="A11" s="9" t="s">
        <v>28</v>
      </c>
      <c r="B11" s="9" t="s">
        <v>98</v>
      </c>
      <c r="C11" s="9" t="s">
        <v>85</v>
      </c>
      <c r="D11" s="9" t="s">
        <v>86</v>
      </c>
      <c r="E11" s="22" t="s">
        <v>101</v>
      </c>
      <c r="F11" s="9" t="s">
        <v>102</v>
      </c>
    </row>
    <row r="12">
      <c r="A12" s="9" t="s">
        <v>71</v>
      </c>
      <c r="B12" s="9" t="s">
        <v>12</v>
      </c>
      <c r="C12" s="9" t="s">
        <v>104</v>
      </c>
      <c r="D12" s="9" t="s">
        <v>86</v>
      </c>
      <c r="E12" s="22" t="s">
        <v>107</v>
      </c>
      <c r="F12" s="22" t="s">
        <v>109</v>
      </c>
    </row>
    <row r="13">
      <c r="A13" s="9" t="s">
        <v>71</v>
      </c>
      <c r="B13" s="9" t="s">
        <v>98</v>
      </c>
      <c r="C13" s="22" t="s">
        <v>110</v>
      </c>
      <c r="D13" s="9" t="s">
        <v>86</v>
      </c>
      <c r="E13" s="22" t="s">
        <v>101</v>
      </c>
      <c r="F13" s="9" t="s">
        <v>113</v>
      </c>
    </row>
    <row r="14">
      <c r="A14" s="9" t="s">
        <v>71</v>
      </c>
      <c r="B14" s="9" t="s">
        <v>115</v>
      </c>
      <c r="C14" s="22" t="s">
        <v>116</v>
      </c>
      <c r="D14" s="9" t="s">
        <v>86</v>
      </c>
      <c r="E14" s="22" t="s">
        <v>118</v>
      </c>
      <c r="F14" s="9" t="s">
        <v>119</v>
      </c>
    </row>
    <row r="15">
      <c r="A15" s="9" t="s">
        <v>71</v>
      </c>
      <c r="B15" s="9" t="s">
        <v>120</v>
      </c>
      <c r="C15" s="9" t="s">
        <v>122</v>
      </c>
      <c r="E15" s="22" t="s">
        <v>123</v>
      </c>
      <c r="F15" s="9" t="s">
        <v>124</v>
      </c>
    </row>
    <row r="16">
      <c r="A16" s="9" t="s">
        <v>71</v>
      </c>
      <c r="B16" s="9" t="s">
        <v>127</v>
      </c>
      <c r="C16" s="9" t="s">
        <v>129</v>
      </c>
      <c r="E16" s="22" t="s">
        <v>131</v>
      </c>
      <c r="F16" s="9" t="s">
        <v>133</v>
      </c>
    </row>
    <row r="17">
      <c r="E17" s="12"/>
    </row>
    <row r="18">
      <c r="A18" s="9" t="s">
        <v>55</v>
      </c>
      <c r="B18" s="9" t="s">
        <v>98</v>
      </c>
      <c r="C18" s="9" t="s">
        <v>138</v>
      </c>
      <c r="D18" s="9" t="s">
        <v>140</v>
      </c>
      <c r="E18" s="22" t="s">
        <v>141</v>
      </c>
    </row>
    <row r="19">
      <c r="A19" s="9" t="s">
        <v>142</v>
      </c>
      <c r="B19" s="22" t="s">
        <v>144</v>
      </c>
      <c r="C19" s="9" t="s">
        <v>146</v>
      </c>
      <c r="D19" s="9" t="s">
        <v>148</v>
      </c>
      <c r="E19" s="22" t="s">
        <v>151</v>
      </c>
      <c r="F19" s="9" t="s">
        <v>152</v>
      </c>
    </row>
    <row r="20">
      <c r="E20" s="12"/>
    </row>
    <row r="21">
      <c r="E21" s="12"/>
    </row>
    <row r="22">
      <c r="E22" s="12"/>
    </row>
    <row r="23">
      <c r="E23" s="12"/>
    </row>
    <row r="24">
      <c r="E24" s="12"/>
    </row>
    <row r="25">
      <c r="E25" s="12"/>
    </row>
    <row r="26">
      <c r="E26" s="12"/>
    </row>
    <row r="27">
      <c r="E27" s="12"/>
    </row>
    <row r="28">
      <c r="E28" s="12"/>
    </row>
    <row r="29">
      <c r="E29" s="12"/>
    </row>
    <row r="30">
      <c r="E30" s="12"/>
    </row>
    <row r="31">
      <c r="E31" s="12"/>
    </row>
    <row r="32">
      <c r="E32" s="12"/>
    </row>
    <row r="33">
      <c r="E33" s="12"/>
    </row>
    <row r="34">
      <c r="E34" s="12"/>
    </row>
    <row r="35">
      <c r="E35" s="12"/>
    </row>
    <row r="36">
      <c r="E36" s="12"/>
    </row>
    <row r="37">
      <c r="E37" s="12"/>
    </row>
    <row r="38">
      <c r="E38" s="12"/>
    </row>
    <row r="39">
      <c r="E39" s="12"/>
    </row>
    <row r="40">
      <c r="E40" s="12"/>
    </row>
    <row r="41">
      <c r="E41" s="12"/>
    </row>
    <row r="42">
      <c r="E42" s="12"/>
    </row>
    <row r="43">
      <c r="E43" s="12"/>
    </row>
    <row r="44">
      <c r="E44" s="12"/>
    </row>
    <row r="45">
      <c r="E45" s="12"/>
    </row>
    <row r="46">
      <c r="E46" s="12"/>
    </row>
    <row r="47">
      <c r="E47" s="12"/>
    </row>
    <row r="48">
      <c r="E48" s="12"/>
    </row>
    <row r="49">
      <c r="E49" s="12"/>
    </row>
    <row r="50">
      <c r="E50" s="12"/>
    </row>
    <row r="51">
      <c r="E51" s="12"/>
    </row>
    <row r="52">
      <c r="E52" s="12"/>
    </row>
    <row r="53">
      <c r="E53" s="12"/>
    </row>
    <row r="54">
      <c r="E54" s="12"/>
    </row>
    <row r="55">
      <c r="E55" s="12"/>
    </row>
    <row r="56">
      <c r="E56" s="12"/>
    </row>
    <row r="57">
      <c r="E57" s="12"/>
    </row>
    <row r="58">
      <c r="E58" s="12"/>
    </row>
    <row r="59">
      <c r="E59" s="12"/>
    </row>
    <row r="60">
      <c r="E60" s="12"/>
    </row>
    <row r="61">
      <c r="E61" s="12"/>
    </row>
    <row r="62">
      <c r="E62" s="12"/>
    </row>
    <row r="63">
      <c r="E63" s="12"/>
    </row>
    <row r="64">
      <c r="E64" s="12"/>
    </row>
    <row r="65">
      <c r="E65" s="12"/>
    </row>
    <row r="66">
      <c r="E66" s="12"/>
    </row>
    <row r="67">
      <c r="E67" s="12"/>
    </row>
    <row r="68">
      <c r="E68" s="12"/>
    </row>
    <row r="69">
      <c r="E69" s="12"/>
    </row>
    <row r="70">
      <c r="E70" s="12"/>
    </row>
    <row r="71">
      <c r="E71" s="12"/>
    </row>
    <row r="72">
      <c r="E72" s="12"/>
    </row>
    <row r="73">
      <c r="E73" s="12"/>
    </row>
    <row r="74">
      <c r="E74" s="12"/>
    </row>
    <row r="75">
      <c r="E75" s="12"/>
    </row>
    <row r="76">
      <c r="E76" s="12"/>
    </row>
    <row r="77">
      <c r="E77" s="12"/>
    </row>
    <row r="78">
      <c r="E78" s="12"/>
    </row>
    <row r="79">
      <c r="E79" s="12"/>
    </row>
    <row r="80">
      <c r="E80" s="12"/>
    </row>
    <row r="81">
      <c r="E81" s="12"/>
    </row>
    <row r="82">
      <c r="E82" s="12"/>
    </row>
    <row r="83">
      <c r="E83" s="12"/>
    </row>
    <row r="84">
      <c r="E84" s="12"/>
    </row>
    <row r="85">
      <c r="E85" s="12"/>
    </row>
    <row r="86">
      <c r="E86" s="12"/>
    </row>
    <row r="87">
      <c r="E87" s="12"/>
    </row>
    <row r="88">
      <c r="E88" s="12"/>
    </row>
    <row r="89">
      <c r="E89" s="12"/>
    </row>
    <row r="90">
      <c r="E90" s="12"/>
    </row>
    <row r="91">
      <c r="E91" s="12"/>
    </row>
    <row r="92">
      <c r="E92" s="12"/>
    </row>
    <row r="93">
      <c r="E93" s="12"/>
    </row>
    <row r="94">
      <c r="E94" s="12"/>
    </row>
    <row r="95">
      <c r="E95" s="12"/>
    </row>
    <row r="96">
      <c r="E96" s="12"/>
    </row>
    <row r="97">
      <c r="E97" s="12"/>
    </row>
    <row r="98">
      <c r="E98" s="12"/>
    </row>
    <row r="99">
      <c r="E99" s="12"/>
    </row>
    <row r="100">
      <c r="E100" s="12"/>
    </row>
    <row r="101">
      <c r="E101" s="12"/>
    </row>
    <row r="102">
      <c r="E102" s="12"/>
    </row>
    <row r="103">
      <c r="E103" s="12"/>
    </row>
    <row r="104">
      <c r="E104" s="12"/>
    </row>
    <row r="105">
      <c r="E105" s="12"/>
    </row>
    <row r="106">
      <c r="E106" s="12"/>
    </row>
    <row r="107">
      <c r="E107" s="12"/>
    </row>
    <row r="108">
      <c r="E108" s="12"/>
    </row>
    <row r="109">
      <c r="E109" s="12"/>
    </row>
    <row r="110">
      <c r="E110" s="12"/>
    </row>
    <row r="111">
      <c r="E111" s="12"/>
    </row>
    <row r="112">
      <c r="E112" s="12"/>
    </row>
    <row r="113">
      <c r="E113" s="12"/>
    </row>
    <row r="114">
      <c r="E114" s="12"/>
    </row>
    <row r="115">
      <c r="E115" s="12"/>
    </row>
    <row r="116">
      <c r="E116" s="12"/>
    </row>
    <row r="117">
      <c r="E117" s="12"/>
    </row>
    <row r="118">
      <c r="E118" s="12"/>
    </row>
    <row r="119">
      <c r="E119" s="12"/>
    </row>
    <row r="120">
      <c r="E120" s="12"/>
    </row>
    <row r="121">
      <c r="E121" s="12"/>
    </row>
    <row r="122">
      <c r="E122" s="12"/>
    </row>
    <row r="123">
      <c r="E123" s="12"/>
    </row>
    <row r="124">
      <c r="E124" s="12"/>
    </row>
    <row r="125">
      <c r="E125" s="12"/>
    </row>
    <row r="126">
      <c r="E126" s="12"/>
    </row>
    <row r="127">
      <c r="E127" s="12"/>
    </row>
    <row r="128">
      <c r="E128" s="12"/>
    </row>
    <row r="129">
      <c r="E129" s="12"/>
    </row>
    <row r="130">
      <c r="E130" s="12"/>
    </row>
    <row r="131">
      <c r="E131" s="12"/>
    </row>
    <row r="132">
      <c r="E132" s="12"/>
    </row>
    <row r="133">
      <c r="E133" s="12"/>
    </row>
    <row r="134">
      <c r="E134" s="12"/>
    </row>
    <row r="135">
      <c r="E135" s="12"/>
    </row>
    <row r="136">
      <c r="E136" s="12"/>
    </row>
    <row r="137">
      <c r="E137" s="12"/>
    </row>
    <row r="138">
      <c r="E138" s="12"/>
    </row>
    <row r="139">
      <c r="E139" s="12"/>
    </row>
    <row r="140">
      <c r="E140" s="12"/>
    </row>
    <row r="141">
      <c r="E141" s="12"/>
    </row>
    <row r="142">
      <c r="E142" s="12"/>
    </row>
    <row r="143">
      <c r="E143" s="12"/>
    </row>
    <row r="144">
      <c r="E144" s="12"/>
    </row>
    <row r="145">
      <c r="E145" s="12"/>
    </row>
    <row r="146">
      <c r="E146" s="12"/>
    </row>
    <row r="147">
      <c r="E147" s="12"/>
    </row>
    <row r="148">
      <c r="E148" s="12"/>
    </row>
    <row r="149">
      <c r="E149" s="12"/>
    </row>
    <row r="150">
      <c r="E150" s="12"/>
    </row>
    <row r="151">
      <c r="E151" s="12"/>
    </row>
    <row r="152">
      <c r="E152" s="12"/>
    </row>
    <row r="153">
      <c r="E153" s="12"/>
    </row>
    <row r="154">
      <c r="E154" s="12"/>
    </row>
    <row r="155">
      <c r="E155" s="12"/>
    </row>
    <row r="156">
      <c r="E156" s="12"/>
    </row>
    <row r="157">
      <c r="E157" s="12"/>
    </row>
    <row r="158">
      <c r="E158" s="12"/>
    </row>
    <row r="159">
      <c r="E159" s="12"/>
    </row>
    <row r="160">
      <c r="E160" s="12"/>
    </row>
    <row r="161">
      <c r="E161" s="12"/>
    </row>
    <row r="162">
      <c r="E162" s="12"/>
    </row>
    <row r="163">
      <c r="E163" s="12"/>
    </row>
    <row r="164">
      <c r="E164" s="12"/>
    </row>
    <row r="165">
      <c r="E165" s="12"/>
    </row>
    <row r="166">
      <c r="E166" s="12"/>
    </row>
    <row r="167">
      <c r="E167" s="12"/>
    </row>
    <row r="168">
      <c r="E168" s="12"/>
    </row>
    <row r="169">
      <c r="E169" s="12"/>
    </row>
    <row r="170">
      <c r="E170" s="12"/>
    </row>
    <row r="171">
      <c r="E171" s="12"/>
    </row>
    <row r="172">
      <c r="E172" s="12"/>
    </row>
    <row r="173">
      <c r="E173" s="12"/>
    </row>
    <row r="174">
      <c r="E174" s="12"/>
    </row>
    <row r="175">
      <c r="E175" s="12"/>
    </row>
    <row r="176">
      <c r="E176" s="12"/>
    </row>
    <row r="177">
      <c r="E177" s="12"/>
    </row>
    <row r="178">
      <c r="E178" s="12"/>
    </row>
    <row r="179">
      <c r="E179" s="12"/>
    </row>
    <row r="180">
      <c r="E180" s="12"/>
    </row>
    <row r="181">
      <c r="E181" s="12"/>
    </row>
    <row r="182">
      <c r="E182" s="12"/>
    </row>
    <row r="183">
      <c r="E183" s="12"/>
    </row>
    <row r="184">
      <c r="E184" s="12"/>
    </row>
    <row r="185">
      <c r="E185" s="12"/>
    </row>
    <row r="186">
      <c r="E186" s="12"/>
    </row>
    <row r="187">
      <c r="E187" s="12"/>
    </row>
    <row r="188">
      <c r="E188" s="12"/>
    </row>
    <row r="189">
      <c r="E189" s="12"/>
    </row>
    <row r="190">
      <c r="E190" s="12"/>
    </row>
    <row r="191">
      <c r="E191" s="12"/>
    </row>
    <row r="192">
      <c r="E192" s="12"/>
    </row>
    <row r="193">
      <c r="E193" s="12"/>
    </row>
    <row r="194">
      <c r="E194" s="12"/>
    </row>
    <row r="195">
      <c r="E195" s="12"/>
    </row>
    <row r="196">
      <c r="E196" s="12"/>
    </row>
    <row r="197">
      <c r="E197" s="12"/>
    </row>
    <row r="198">
      <c r="E198" s="12"/>
    </row>
    <row r="199">
      <c r="E199" s="12"/>
    </row>
    <row r="200">
      <c r="E200" s="12"/>
    </row>
    <row r="201">
      <c r="E201" s="12"/>
    </row>
    <row r="202">
      <c r="E202" s="12"/>
    </row>
    <row r="203">
      <c r="E203" s="12"/>
    </row>
    <row r="204">
      <c r="E204" s="12"/>
    </row>
    <row r="205">
      <c r="E205" s="12"/>
    </row>
    <row r="206">
      <c r="E206" s="12"/>
    </row>
    <row r="207">
      <c r="E207" s="12"/>
    </row>
    <row r="208">
      <c r="E208" s="12"/>
    </row>
    <row r="209">
      <c r="E209" s="12"/>
    </row>
    <row r="210">
      <c r="E210" s="12"/>
    </row>
    <row r="211">
      <c r="E211" s="12"/>
    </row>
    <row r="212">
      <c r="E212" s="12"/>
    </row>
    <row r="213">
      <c r="E213" s="12"/>
    </row>
    <row r="214">
      <c r="E214" s="12"/>
    </row>
    <row r="215">
      <c r="E215" s="12"/>
    </row>
    <row r="216">
      <c r="E216" s="12"/>
    </row>
    <row r="217">
      <c r="E217" s="12"/>
    </row>
    <row r="218">
      <c r="E218" s="12"/>
    </row>
    <row r="219">
      <c r="E219" s="12"/>
    </row>
    <row r="220">
      <c r="E220" s="12"/>
    </row>
    <row r="221">
      <c r="E221" s="12"/>
    </row>
    <row r="222">
      <c r="E222" s="12"/>
    </row>
    <row r="223">
      <c r="E223" s="12"/>
    </row>
    <row r="224">
      <c r="E224" s="12"/>
    </row>
    <row r="225">
      <c r="E225" s="12"/>
    </row>
    <row r="226">
      <c r="E226" s="12"/>
    </row>
    <row r="227">
      <c r="E227" s="12"/>
    </row>
    <row r="228">
      <c r="E228" s="12"/>
    </row>
    <row r="229">
      <c r="E229" s="12"/>
    </row>
    <row r="230">
      <c r="E230" s="12"/>
    </row>
    <row r="231">
      <c r="E231" s="12"/>
    </row>
    <row r="232">
      <c r="E232" s="12"/>
    </row>
    <row r="233">
      <c r="E233" s="12"/>
    </row>
    <row r="234">
      <c r="E234" s="12"/>
    </row>
    <row r="235">
      <c r="E235" s="12"/>
    </row>
    <row r="236">
      <c r="E236" s="12"/>
    </row>
    <row r="237">
      <c r="E237" s="12"/>
    </row>
    <row r="238">
      <c r="E238" s="12"/>
    </row>
    <row r="239">
      <c r="E239" s="12"/>
    </row>
    <row r="240">
      <c r="E240" s="12"/>
    </row>
    <row r="241">
      <c r="E241" s="12"/>
    </row>
    <row r="242">
      <c r="E242" s="12"/>
    </row>
    <row r="243">
      <c r="E243" s="12"/>
    </row>
    <row r="244">
      <c r="E244" s="12"/>
    </row>
    <row r="245">
      <c r="E245" s="12"/>
    </row>
    <row r="246">
      <c r="E246" s="12"/>
    </row>
    <row r="247">
      <c r="E247" s="12"/>
    </row>
    <row r="248">
      <c r="E248" s="12"/>
    </row>
    <row r="249">
      <c r="E249" s="12"/>
    </row>
    <row r="250">
      <c r="E250" s="12"/>
    </row>
    <row r="251">
      <c r="E251" s="12"/>
    </row>
    <row r="252">
      <c r="E252" s="12"/>
    </row>
    <row r="253">
      <c r="E253" s="12"/>
    </row>
    <row r="254">
      <c r="E254" s="12"/>
    </row>
    <row r="255">
      <c r="E255" s="12"/>
    </row>
    <row r="256">
      <c r="E256" s="12"/>
    </row>
    <row r="257">
      <c r="E257" s="12"/>
    </row>
    <row r="258">
      <c r="E258" s="12"/>
    </row>
    <row r="259">
      <c r="E259" s="12"/>
    </row>
    <row r="260">
      <c r="E260" s="12"/>
    </row>
    <row r="261">
      <c r="E261" s="12"/>
    </row>
    <row r="262">
      <c r="E262" s="12"/>
    </row>
    <row r="263">
      <c r="E263" s="12"/>
    </row>
    <row r="264">
      <c r="E264" s="12"/>
    </row>
    <row r="265">
      <c r="E265" s="12"/>
    </row>
    <row r="266">
      <c r="E266" s="12"/>
    </row>
    <row r="267">
      <c r="E267" s="12"/>
    </row>
    <row r="268">
      <c r="E268" s="12"/>
    </row>
    <row r="269">
      <c r="E269" s="12"/>
    </row>
    <row r="270">
      <c r="E270" s="12"/>
    </row>
    <row r="271">
      <c r="E271" s="12"/>
    </row>
    <row r="272">
      <c r="E272" s="12"/>
    </row>
    <row r="273">
      <c r="E273" s="12"/>
    </row>
    <row r="274">
      <c r="E274" s="12"/>
    </row>
    <row r="275">
      <c r="E275" s="12"/>
    </row>
    <row r="276">
      <c r="E276" s="12"/>
    </row>
    <row r="277">
      <c r="E277" s="12"/>
    </row>
    <row r="278">
      <c r="E278" s="12"/>
    </row>
    <row r="279">
      <c r="E279" s="12"/>
    </row>
    <row r="280">
      <c r="E280" s="12"/>
    </row>
    <row r="281">
      <c r="E281" s="12"/>
    </row>
    <row r="282">
      <c r="E282" s="12"/>
    </row>
    <row r="283">
      <c r="E283" s="12"/>
    </row>
    <row r="284">
      <c r="E284" s="12"/>
    </row>
    <row r="285">
      <c r="E285" s="12"/>
    </row>
    <row r="286">
      <c r="E286" s="12"/>
    </row>
    <row r="287">
      <c r="E287" s="12"/>
    </row>
    <row r="288">
      <c r="E288" s="12"/>
    </row>
    <row r="289">
      <c r="E289" s="12"/>
    </row>
    <row r="290">
      <c r="E290" s="12"/>
    </row>
    <row r="291">
      <c r="E291" s="12"/>
    </row>
    <row r="292">
      <c r="E292" s="12"/>
    </row>
    <row r="293">
      <c r="E293" s="12"/>
    </row>
    <row r="294">
      <c r="E294" s="12"/>
    </row>
    <row r="295">
      <c r="E295" s="12"/>
    </row>
    <row r="296">
      <c r="E296" s="12"/>
    </row>
    <row r="297">
      <c r="E297" s="12"/>
    </row>
    <row r="298">
      <c r="E298" s="12"/>
    </row>
    <row r="299">
      <c r="E299" s="12"/>
    </row>
    <row r="300">
      <c r="E300" s="12"/>
    </row>
    <row r="301">
      <c r="E301" s="12"/>
    </row>
    <row r="302">
      <c r="E302" s="12"/>
    </row>
    <row r="303">
      <c r="E303" s="12"/>
    </row>
    <row r="304">
      <c r="E304" s="12"/>
    </row>
    <row r="305">
      <c r="E305" s="12"/>
    </row>
    <row r="306">
      <c r="E306" s="12"/>
    </row>
    <row r="307">
      <c r="E307" s="12"/>
    </row>
    <row r="308">
      <c r="E308" s="12"/>
    </row>
    <row r="309">
      <c r="E309" s="12"/>
    </row>
    <row r="310">
      <c r="E310" s="12"/>
    </row>
    <row r="311">
      <c r="E311" s="12"/>
    </row>
    <row r="312">
      <c r="E312" s="12"/>
    </row>
    <row r="313">
      <c r="E313" s="12"/>
    </row>
    <row r="314">
      <c r="E314" s="12"/>
    </row>
    <row r="315">
      <c r="E315" s="12"/>
    </row>
    <row r="316">
      <c r="E316" s="12"/>
    </row>
    <row r="317">
      <c r="E317" s="12"/>
    </row>
    <row r="318">
      <c r="E318" s="12"/>
    </row>
    <row r="319">
      <c r="E319" s="12"/>
    </row>
    <row r="320">
      <c r="E320" s="12"/>
    </row>
    <row r="321">
      <c r="E321" s="12"/>
    </row>
    <row r="322">
      <c r="E322" s="12"/>
    </row>
    <row r="323">
      <c r="E323" s="12"/>
    </row>
    <row r="324">
      <c r="E324" s="12"/>
    </row>
    <row r="325">
      <c r="E325" s="12"/>
    </row>
    <row r="326">
      <c r="E326" s="12"/>
    </row>
    <row r="327">
      <c r="E327" s="12"/>
    </row>
    <row r="328">
      <c r="E328" s="12"/>
    </row>
    <row r="329">
      <c r="E329" s="12"/>
    </row>
    <row r="330">
      <c r="E330" s="12"/>
    </row>
    <row r="331">
      <c r="E331" s="12"/>
    </row>
    <row r="332">
      <c r="E332" s="12"/>
    </row>
    <row r="333">
      <c r="E333" s="12"/>
    </row>
    <row r="334">
      <c r="E334" s="12"/>
    </row>
    <row r="335">
      <c r="E335" s="12"/>
    </row>
    <row r="336">
      <c r="E336" s="12"/>
    </row>
    <row r="337">
      <c r="E337" s="12"/>
    </row>
    <row r="338">
      <c r="E338" s="12"/>
    </row>
    <row r="339">
      <c r="E339" s="12"/>
    </row>
    <row r="340">
      <c r="E340" s="12"/>
    </row>
    <row r="341">
      <c r="E341" s="12"/>
    </row>
    <row r="342">
      <c r="E342" s="12"/>
    </row>
    <row r="343">
      <c r="E343" s="12"/>
    </row>
    <row r="344">
      <c r="E344" s="12"/>
    </row>
    <row r="345">
      <c r="E345" s="12"/>
    </row>
    <row r="346">
      <c r="E346" s="12"/>
    </row>
    <row r="347">
      <c r="E347" s="12"/>
    </row>
    <row r="348">
      <c r="E348" s="12"/>
    </row>
    <row r="349">
      <c r="E349" s="12"/>
    </row>
    <row r="350">
      <c r="E350" s="12"/>
    </row>
    <row r="351">
      <c r="E351" s="12"/>
    </row>
    <row r="352">
      <c r="E352" s="12"/>
    </row>
    <row r="353">
      <c r="E353" s="12"/>
    </row>
    <row r="354">
      <c r="E354" s="12"/>
    </row>
    <row r="355">
      <c r="E355" s="12"/>
    </row>
    <row r="356">
      <c r="E356" s="12"/>
    </row>
    <row r="357">
      <c r="E357" s="12"/>
    </row>
    <row r="358">
      <c r="E358" s="12"/>
    </row>
    <row r="359">
      <c r="E359" s="12"/>
    </row>
    <row r="360">
      <c r="E360" s="12"/>
    </row>
    <row r="361">
      <c r="E361" s="12"/>
    </row>
    <row r="362">
      <c r="E362" s="12"/>
    </row>
    <row r="363">
      <c r="E363" s="12"/>
    </row>
    <row r="364">
      <c r="E364" s="12"/>
    </row>
    <row r="365">
      <c r="E365" s="12"/>
    </row>
    <row r="366">
      <c r="E366" s="12"/>
    </row>
    <row r="367">
      <c r="E367" s="12"/>
    </row>
    <row r="368">
      <c r="E368" s="12"/>
    </row>
    <row r="369">
      <c r="E369" s="12"/>
    </row>
    <row r="370">
      <c r="E370" s="12"/>
    </row>
    <row r="371">
      <c r="E371" s="12"/>
    </row>
    <row r="372">
      <c r="E372" s="12"/>
    </row>
    <row r="373">
      <c r="E373" s="12"/>
    </row>
    <row r="374">
      <c r="E374" s="12"/>
    </row>
    <row r="375">
      <c r="E375" s="12"/>
    </row>
    <row r="376">
      <c r="E376" s="12"/>
    </row>
    <row r="377">
      <c r="E377" s="12"/>
    </row>
    <row r="378">
      <c r="E378" s="12"/>
    </row>
    <row r="379">
      <c r="E379" s="12"/>
    </row>
    <row r="380">
      <c r="E380" s="12"/>
    </row>
    <row r="381">
      <c r="E381" s="12"/>
    </row>
    <row r="382">
      <c r="E382" s="12"/>
    </row>
    <row r="383">
      <c r="E383" s="12"/>
    </row>
    <row r="384">
      <c r="E384" s="12"/>
    </row>
    <row r="385">
      <c r="E385" s="12"/>
    </row>
    <row r="386">
      <c r="E386" s="12"/>
    </row>
    <row r="387">
      <c r="E387" s="12"/>
    </row>
    <row r="388">
      <c r="E388" s="12"/>
    </row>
    <row r="389">
      <c r="E389" s="12"/>
    </row>
    <row r="390">
      <c r="E390" s="12"/>
    </row>
    <row r="391">
      <c r="E391" s="12"/>
    </row>
    <row r="392">
      <c r="E392" s="12"/>
    </row>
    <row r="393">
      <c r="E393" s="12"/>
    </row>
    <row r="394">
      <c r="E394" s="12"/>
    </row>
    <row r="395">
      <c r="E395" s="12"/>
    </row>
    <row r="396">
      <c r="E396" s="12"/>
    </row>
    <row r="397">
      <c r="E397" s="12"/>
    </row>
    <row r="398">
      <c r="E398" s="12"/>
    </row>
    <row r="399">
      <c r="E399" s="12"/>
    </row>
    <row r="400">
      <c r="E400" s="12"/>
    </row>
    <row r="401">
      <c r="E401" s="12"/>
    </row>
    <row r="402">
      <c r="E402" s="12"/>
    </row>
    <row r="403">
      <c r="E403" s="12"/>
    </row>
    <row r="404">
      <c r="E404" s="12"/>
    </row>
    <row r="405">
      <c r="E405" s="12"/>
    </row>
    <row r="406">
      <c r="E406" s="12"/>
    </row>
    <row r="407">
      <c r="E407" s="12"/>
    </row>
    <row r="408">
      <c r="E408" s="12"/>
    </row>
    <row r="409">
      <c r="E409" s="12"/>
    </row>
    <row r="410">
      <c r="E410" s="12"/>
    </row>
    <row r="411">
      <c r="E411" s="12"/>
    </row>
    <row r="412">
      <c r="E412" s="12"/>
    </row>
    <row r="413">
      <c r="E413" s="12"/>
    </row>
    <row r="414">
      <c r="E414" s="12"/>
    </row>
    <row r="415">
      <c r="E415" s="12"/>
    </row>
    <row r="416">
      <c r="E416" s="12"/>
    </row>
    <row r="417">
      <c r="E417" s="12"/>
    </row>
    <row r="418">
      <c r="E418" s="12"/>
    </row>
    <row r="419">
      <c r="E419" s="12"/>
    </row>
    <row r="420">
      <c r="E420" s="12"/>
    </row>
    <row r="421">
      <c r="E421" s="12"/>
    </row>
    <row r="422">
      <c r="E422" s="12"/>
    </row>
    <row r="423">
      <c r="E423" s="12"/>
    </row>
    <row r="424">
      <c r="E424" s="12"/>
    </row>
    <row r="425">
      <c r="E425" s="12"/>
    </row>
    <row r="426">
      <c r="E426" s="12"/>
    </row>
    <row r="427">
      <c r="E427" s="12"/>
    </row>
    <row r="428">
      <c r="E428" s="12"/>
    </row>
    <row r="429">
      <c r="E429" s="12"/>
    </row>
    <row r="430">
      <c r="E430" s="12"/>
    </row>
    <row r="431">
      <c r="E431" s="12"/>
    </row>
    <row r="432">
      <c r="E432" s="12"/>
    </row>
    <row r="433">
      <c r="E433" s="12"/>
    </row>
    <row r="434">
      <c r="E434" s="12"/>
    </row>
    <row r="435">
      <c r="E435" s="12"/>
    </row>
    <row r="436">
      <c r="E436" s="12"/>
    </row>
    <row r="437">
      <c r="E437" s="12"/>
    </row>
    <row r="438">
      <c r="E438" s="12"/>
    </row>
    <row r="439">
      <c r="E439" s="12"/>
    </row>
    <row r="440">
      <c r="E440" s="12"/>
    </row>
    <row r="441">
      <c r="E441" s="12"/>
    </row>
    <row r="442">
      <c r="E442" s="12"/>
    </row>
    <row r="443">
      <c r="E443" s="12"/>
    </row>
    <row r="444">
      <c r="E444" s="12"/>
    </row>
    <row r="445">
      <c r="E445" s="12"/>
    </row>
    <row r="446">
      <c r="E446" s="12"/>
    </row>
    <row r="447">
      <c r="E447" s="12"/>
    </row>
    <row r="448">
      <c r="E448" s="12"/>
    </row>
    <row r="449">
      <c r="E449" s="12"/>
    </row>
    <row r="450">
      <c r="E450" s="12"/>
    </row>
    <row r="451">
      <c r="E451" s="12"/>
    </row>
    <row r="452">
      <c r="E452" s="12"/>
    </row>
    <row r="453">
      <c r="E453" s="12"/>
    </row>
    <row r="454">
      <c r="E454" s="12"/>
    </row>
    <row r="455">
      <c r="E455" s="12"/>
    </row>
    <row r="456">
      <c r="E456" s="12"/>
    </row>
    <row r="457">
      <c r="E457" s="12"/>
    </row>
    <row r="458">
      <c r="E458" s="12"/>
    </row>
    <row r="459">
      <c r="E459" s="12"/>
    </row>
    <row r="460">
      <c r="E460" s="12"/>
    </row>
    <row r="461">
      <c r="E461" s="12"/>
    </row>
    <row r="462">
      <c r="E462" s="12"/>
    </row>
    <row r="463">
      <c r="E463" s="12"/>
    </row>
    <row r="464">
      <c r="E464" s="12"/>
    </row>
    <row r="465">
      <c r="E465" s="12"/>
    </row>
    <row r="466">
      <c r="E466" s="12"/>
    </row>
    <row r="467">
      <c r="E467" s="12"/>
    </row>
    <row r="468">
      <c r="E468" s="12"/>
    </row>
    <row r="469">
      <c r="E469" s="12"/>
    </row>
    <row r="470">
      <c r="E470" s="12"/>
    </row>
    <row r="471">
      <c r="E471" s="12"/>
    </row>
    <row r="472">
      <c r="E472" s="12"/>
    </row>
    <row r="473">
      <c r="E473" s="12"/>
    </row>
    <row r="474">
      <c r="E474" s="12"/>
    </row>
    <row r="475">
      <c r="E475" s="12"/>
    </row>
    <row r="476">
      <c r="E476" s="12"/>
    </row>
    <row r="477">
      <c r="E477" s="12"/>
    </row>
    <row r="478">
      <c r="E478" s="12"/>
    </row>
    <row r="479">
      <c r="E479" s="12"/>
    </row>
    <row r="480">
      <c r="E480" s="12"/>
    </row>
    <row r="481">
      <c r="E481" s="12"/>
    </row>
    <row r="482">
      <c r="E482" s="12"/>
    </row>
    <row r="483">
      <c r="E483" s="12"/>
    </row>
    <row r="484">
      <c r="E484" s="12"/>
    </row>
    <row r="485">
      <c r="E485" s="12"/>
    </row>
    <row r="486">
      <c r="E486" s="12"/>
    </row>
    <row r="487">
      <c r="E487" s="12"/>
    </row>
    <row r="488">
      <c r="E488" s="12"/>
    </row>
    <row r="489">
      <c r="E489" s="12"/>
    </row>
    <row r="490">
      <c r="E490" s="12"/>
    </row>
    <row r="491">
      <c r="E491" s="12"/>
    </row>
    <row r="492">
      <c r="E492" s="12"/>
    </row>
    <row r="493">
      <c r="E493" s="12"/>
    </row>
    <row r="494">
      <c r="E494" s="12"/>
    </row>
    <row r="495">
      <c r="E495" s="12"/>
    </row>
    <row r="496">
      <c r="E496" s="12"/>
    </row>
    <row r="497">
      <c r="E497" s="12"/>
    </row>
    <row r="498">
      <c r="E498" s="12"/>
    </row>
    <row r="499">
      <c r="E499" s="12"/>
    </row>
    <row r="500">
      <c r="E500" s="12"/>
    </row>
    <row r="501">
      <c r="E501" s="12"/>
    </row>
    <row r="502">
      <c r="E502" s="12"/>
    </row>
    <row r="503">
      <c r="E503" s="12"/>
    </row>
    <row r="504">
      <c r="E504" s="12"/>
    </row>
    <row r="505">
      <c r="E505" s="12"/>
    </row>
    <row r="506">
      <c r="E506" s="12"/>
    </row>
    <row r="507">
      <c r="E507" s="12"/>
    </row>
    <row r="508">
      <c r="E508" s="12"/>
    </row>
    <row r="509">
      <c r="E509" s="12"/>
    </row>
    <row r="510">
      <c r="E510" s="12"/>
    </row>
    <row r="511">
      <c r="E511" s="12"/>
    </row>
    <row r="512">
      <c r="E512" s="12"/>
    </row>
    <row r="513">
      <c r="E513" s="12"/>
    </row>
    <row r="514">
      <c r="E514" s="12"/>
    </row>
    <row r="515">
      <c r="E515" s="12"/>
    </row>
    <row r="516">
      <c r="E516" s="12"/>
    </row>
    <row r="517">
      <c r="E517" s="12"/>
    </row>
    <row r="518">
      <c r="E518" s="12"/>
    </row>
    <row r="519">
      <c r="E519" s="12"/>
    </row>
    <row r="520">
      <c r="E520" s="12"/>
    </row>
    <row r="521">
      <c r="E521" s="12"/>
    </row>
    <row r="522">
      <c r="E522" s="12"/>
    </row>
    <row r="523">
      <c r="E523" s="12"/>
    </row>
    <row r="524">
      <c r="E524" s="12"/>
    </row>
    <row r="525">
      <c r="E525" s="12"/>
    </row>
    <row r="526">
      <c r="E526" s="12"/>
    </row>
    <row r="527">
      <c r="E527" s="12"/>
    </row>
    <row r="528">
      <c r="E528" s="12"/>
    </row>
    <row r="529">
      <c r="E529" s="12"/>
    </row>
    <row r="530">
      <c r="E530" s="12"/>
    </row>
    <row r="531">
      <c r="E531" s="12"/>
    </row>
    <row r="532">
      <c r="E532" s="12"/>
    </row>
    <row r="533">
      <c r="E533" s="12"/>
    </row>
    <row r="534">
      <c r="E534" s="12"/>
    </row>
    <row r="535">
      <c r="E535" s="12"/>
    </row>
    <row r="536">
      <c r="E536" s="12"/>
    </row>
    <row r="537">
      <c r="E537" s="12"/>
    </row>
    <row r="538">
      <c r="E538" s="12"/>
    </row>
    <row r="539">
      <c r="E539" s="12"/>
    </row>
    <row r="540">
      <c r="E540" s="12"/>
    </row>
    <row r="541">
      <c r="E541" s="12"/>
    </row>
    <row r="542">
      <c r="E542" s="12"/>
    </row>
    <row r="543">
      <c r="E543" s="12"/>
    </row>
    <row r="544">
      <c r="E544" s="12"/>
    </row>
    <row r="545">
      <c r="E545" s="12"/>
    </row>
    <row r="546">
      <c r="E546" s="12"/>
    </row>
    <row r="547">
      <c r="E547" s="12"/>
    </row>
    <row r="548">
      <c r="E548" s="12"/>
    </row>
    <row r="549">
      <c r="E549" s="12"/>
    </row>
    <row r="550">
      <c r="E550" s="12"/>
    </row>
    <row r="551">
      <c r="E551" s="12"/>
    </row>
    <row r="552">
      <c r="E552" s="12"/>
    </row>
    <row r="553">
      <c r="E553" s="12"/>
    </row>
    <row r="554">
      <c r="E554" s="12"/>
    </row>
    <row r="555">
      <c r="E555" s="12"/>
    </row>
    <row r="556">
      <c r="E556" s="12"/>
    </row>
    <row r="557">
      <c r="E557" s="12"/>
    </row>
    <row r="558">
      <c r="E558" s="12"/>
    </row>
    <row r="559">
      <c r="E559" s="12"/>
    </row>
    <row r="560">
      <c r="E560" s="12"/>
    </row>
    <row r="561">
      <c r="E561" s="12"/>
    </row>
    <row r="562">
      <c r="E562" s="12"/>
    </row>
    <row r="563">
      <c r="E563" s="12"/>
    </row>
    <row r="564">
      <c r="E564" s="12"/>
    </row>
    <row r="565">
      <c r="E565" s="12"/>
    </row>
    <row r="566">
      <c r="E566" s="12"/>
    </row>
    <row r="567">
      <c r="E567" s="12"/>
    </row>
    <row r="568">
      <c r="E568" s="12"/>
    </row>
    <row r="569">
      <c r="E569" s="12"/>
    </row>
    <row r="570">
      <c r="E570" s="12"/>
    </row>
    <row r="571">
      <c r="E571" s="12"/>
    </row>
    <row r="572">
      <c r="E572" s="12"/>
    </row>
    <row r="573">
      <c r="E573" s="12"/>
    </row>
    <row r="574">
      <c r="E574" s="12"/>
    </row>
    <row r="575">
      <c r="E575" s="12"/>
    </row>
    <row r="576">
      <c r="E576" s="12"/>
    </row>
    <row r="577">
      <c r="E577" s="12"/>
    </row>
    <row r="578">
      <c r="E578" s="12"/>
    </row>
    <row r="579">
      <c r="E579" s="12"/>
    </row>
    <row r="580">
      <c r="E580" s="12"/>
    </row>
    <row r="581">
      <c r="E581" s="12"/>
    </row>
    <row r="582">
      <c r="E582" s="12"/>
    </row>
    <row r="583">
      <c r="E583" s="12"/>
    </row>
    <row r="584">
      <c r="E584" s="12"/>
    </row>
    <row r="585">
      <c r="E585" s="12"/>
    </row>
    <row r="586">
      <c r="E586" s="12"/>
    </row>
    <row r="587">
      <c r="E587" s="12"/>
    </row>
    <row r="588">
      <c r="E588" s="12"/>
    </row>
    <row r="589">
      <c r="E589" s="12"/>
    </row>
    <row r="590">
      <c r="E590" s="12"/>
    </row>
    <row r="591">
      <c r="E591" s="12"/>
    </row>
    <row r="592">
      <c r="E592" s="12"/>
    </row>
    <row r="593">
      <c r="E593" s="12"/>
    </row>
    <row r="594">
      <c r="E594" s="12"/>
    </row>
    <row r="595">
      <c r="E595" s="12"/>
    </row>
    <row r="596">
      <c r="E596" s="12"/>
    </row>
    <row r="597">
      <c r="E597" s="12"/>
    </row>
    <row r="598">
      <c r="E598" s="12"/>
    </row>
    <row r="599">
      <c r="E599" s="12"/>
    </row>
    <row r="600">
      <c r="E600" s="12"/>
    </row>
    <row r="601">
      <c r="E601" s="12"/>
    </row>
    <row r="602">
      <c r="E602" s="12"/>
    </row>
    <row r="603">
      <c r="E603" s="12"/>
    </row>
    <row r="604">
      <c r="E604" s="12"/>
    </row>
    <row r="605">
      <c r="E605" s="12"/>
    </row>
    <row r="606">
      <c r="E606" s="12"/>
    </row>
    <row r="607">
      <c r="E607" s="12"/>
    </row>
    <row r="608">
      <c r="E608" s="12"/>
    </row>
    <row r="609">
      <c r="E609" s="12"/>
    </row>
    <row r="610">
      <c r="E610" s="12"/>
    </row>
    <row r="611">
      <c r="E611" s="12"/>
    </row>
    <row r="612">
      <c r="E612" s="12"/>
    </row>
    <row r="613">
      <c r="E613" s="12"/>
    </row>
    <row r="614">
      <c r="E614" s="12"/>
    </row>
    <row r="615">
      <c r="E615" s="12"/>
    </row>
    <row r="616">
      <c r="E616" s="12"/>
    </row>
    <row r="617">
      <c r="E617" s="12"/>
    </row>
    <row r="618">
      <c r="E618" s="12"/>
    </row>
    <row r="619">
      <c r="E619" s="12"/>
    </row>
    <row r="620">
      <c r="E620" s="12"/>
    </row>
    <row r="621">
      <c r="E621" s="12"/>
    </row>
    <row r="622">
      <c r="E622" s="12"/>
    </row>
    <row r="623">
      <c r="E623" s="12"/>
    </row>
    <row r="624">
      <c r="E624" s="12"/>
    </row>
    <row r="625">
      <c r="E625" s="12"/>
    </row>
    <row r="626">
      <c r="E626" s="12"/>
    </row>
    <row r="627">
      <c r="E627" s="12"/>
    </row>
    <row r="628">
      <c r="E628" s="12"/>
    </row>
    <row r="629">
      <c r="E629" s="12"/>
    </row>
    <row r="630">
      <c r="E630" s="12"/>
    </row>
    <row r="631">
      <c r="E631" s="12"/>
    </row>
    <row r="632">
      <c r="E632" s="12"/>
    </row>
    <row r="633">
      <c r="E633" s="12"/>
    </row>
    <row r="634">
      <c r="E634" s="12"/>
    </row>
    <row r="635">
      <c r="E635" s="12"/>
    </row>
    <row r="636">
      <c r="E636" s="12"/>
    </row>
    <row r="637">
      <c r="E637" s="12"/>
    </row>
    <row r="638">
      <c r="E638" s="12"/>
    </row>
    <row r="639">
      <c r="E639" s="12"/>
    </row>
    <row r="640">
      <c r="E640" s="12"/>
    </row>
    <row r="641">
      <c r="E641" s="12"/>
    </row>
    <row r="642">
      <c r="E642" s="12"/>
    </row>
    <row r="643">
      <c r="E643" s="12"/>
    </row>
    <row r="644">
      <c r="E644" s="12"/>
    </row>
    <row r="645">
      <c r="E645" s="12"/>
    </row>
    <row r="646">
      <c r="E646" s="12"/>
    </row>
    <row r="647">
      <c r="E647" s="12"/>
    </row>
    <row r="648">
      <c r="E648" s="12"/>
    </row>
    <row r="649">
      <c r="E649" s="12"/>
    </row>
    <row r="650">
      <c r="E650" s="12"/>
    </row>
    <row r="651">
      <c r="E651" s="12"/>
    </row>
    <row r="652">
      <c r="E652" s="12"/>
    </row>
    <row r="653">
      <c r="E653" s="12"/>
    </row>
    <row r="654">
      <c r="E654" s="12"/>
    </row>
    <row r="655">
      <c r="E655" s="12"/>
    </row>
    <row r="656">
      <c r="E656" s="12"/>
    </row>
    <row r="657">
      <c r="E657" s="12"/>
    </row>
    <row r="658">
      <c r="E658" s="12"/>
    </row>
    <row r="659">
      <c r="E659" s="12"/>
    </row>
    <row r="660">
      <c r="E660" s="12"/>
    </row>
    <row r="661">
      <c r="E661" s="12"/>
    </row>
    <row r="662">
      <c r="E662" s="12"/>
    </row>
    <row r="663">
      <c r="E663" s="12"/>
    </row>
    <row r="664">
      <c r="E664" s="12"/>
    </row>
    <row r="665">
      <c r="E665" s="12"/>
    </row>
    <row r="666">
      <c r="E666" s="12"/>
    </row>
    <row r="667">
      <c r="E667" s="12"/>
    </row>
    <row r="668">
      <c r="E668" s="12"/>
    </row>
    <row r="669">
      <c r="E669" s="12"/>
    </row>
    <row r="670">
      <c r="E670" s="12"/>
    </row>
    <row r="671">
      <c r="E671" s="12"/>
    </row>
    <row r="672">
      <c r="E672" s="12"/>
    </row>
    <row r="673">
      <c r="E673" s="12"/>
    </row>
    <row r="674">
      <c r="E674" s="12"/>
    </row>
    <row r="675">
      <c r="E675" s="12"/>
    </row>
    <row r="676">
      <c r="E676" s="12"/>
    </row>
    <row r="677">
      <c r="E677" s="12"/>
    </row>
    <row r="678">
      <c r="E678" s="12"/>
    </row>
    <row r="679">
      <c r="E679" s="12"/>
    </row>
    <row r="680">
      <c r="E680" s="12"/>
    </row>
    <row r="681">
      <c r="E681" s="12"/>
    </row>
    <row r="682">
      <c r="E682" s="12"/>
    </row>
    <row r="683">
      <c r="E683" s="12"/>
    </row>
    <row r="684">
      <c r="E684" s="12"/>
    </row>
    <row r="685">
      <c r="E685" s="12"/>
    </row>
    <row r="686">
      <c r="E686" s="12"/>
    </row>
    <row r="687">
      <c r="E687" s="12"/>
    </row>
    <row r="688">
      <c r="E688" s="12"/>
    </row>
    <row r="689">
      <c r="E689" s="12"/>
    </row>
    <row r="690">
      <c r="E690" s="12"/>
    </row>
    <row r="691">
      <c r="E691" s="12"/>
    </row>
    <row r="692">
      <c r="E692" s="12"/>
    </row>
    <row r="693">
      <c r="E693" s="12"/>
    </row>
    <row r="694">
      <c r="E694" s="12"/>
    </row>
    <row r="695">
      <c r="E695" s="12"/>
    </row>
    <row r="696">
      <c r="E696" s="12"/>
    </row>
    <row r="697">
      <c r="E697" s="12"/>
    </row>
    <row r="698">
      <c r="E698" s="12"/>
    </row>
    <row r="699">
      <c r="E699" s="12"/>
    </row>
    <row r="700">
      <c r="E700" s="12"/>
    </row>
    <row r="701">
      <c r="E701" s="12"/>
    </row>
    <row r="702">
      <c r="E702" s="12"/>
    </row>
    <row r="703">
      <c r="E703" s="12"/>
    </row>
    <row r="704">
      <c r="E704" s="12"/>
    </row>
    <row r="705">
      <c r="E705" s="12"/>
    </row>
    <row r="706">
      <c r="E706" s="12"/>
    </row>
    <row r="707">
      <c r="E707" s="12"/>
    </row>
    <row r="708">
      <c r="E708" s="12"/>
    </row>
    <row r="709">
      <c r="E709" s="12"/>
    </row>
    <row r="710">
      <c r="E710" s="12"/>
    </row>
    <row r="711">
      <c r="E711" s="12"/>
    </row>
    <row r="712">
      <c r="E712" s="12"/>
    </row>
    <row r="713">
      <c r="E713" s="12"/>
    </row>
    <row r="714">
      <c r="E714" s="12"/>
    </row>
    <row r="715">
      <c r="E715" s="12"/>
    </row>
    <row r="716">
      <c r="E716" s="12"/>
    </row>
    <row r="717">
      <c r="E717" s="12"/>
    </row>
    <row r="718">
      <c r="E718" s="12"/>
    </row>
    <row r="719">
      <c r="E719" s="12"/>
    </row>
    <row r="720">
      <c r="E720" s="12"/>
    </row>
    <row r="721">
      <c r="E721" s="12"/>
    </row>
    <row r="722">
      <c r="E722" s="12"/>
    </row>
    <row r="723">
      <c r="E723" s="12"/>
    </row>
    <row r="724">
      <c r="E724" s="12"/>
    </row>
    <row r="725">
      <c r="E725" s="12"/>
    </row>
    <row r="726">
      <c r="E726" s="12"/>
    </row>
    <row r="727">
      <c r="E727" s="12"/>
    </row>
    <row r="728">
      <c r="E728" s="12"/>
    </row>
    <row r="729">
      <c r="E729" s="12"/>
    </row>
    <row r="730">
      <c r="E730" s="12"/>
    </row>
    <row r="731">
      <c r="E731" s="12"/>
    </row>
    <row r="732">
      <c r="E732" s="12"/>
    </row>
    <row r="733">
      <c r="E733" s="12"/>
    </row>
    <row r="734">
      <c r="E734" s="12"/>
    </row>
    <row r="735">
      <c r="E735" s="12"/>
    </row>
    <row r="736">
      <c r="E736" s="12"/>
    </row>
    <row r="737">
      <c r="E737" s="12"/>
    </row>
    <row r="738">
      <c r="E738" s="12"/>
    </row>
    <row r="739">
      <c r="E739" s="12"/>
    </row>
    <row r="740">
      <c r="E740" s="12"/>
    </row>
    <row r="741">
      <c r="E741" s="12"/>
    </row>
    <row r="742">
      <c r="E742" s="12"/>
    </row>
    <row r="743">
      <c r="E743" s="12"/>
    </row>
    <row r="744">
      <c r="E744" s="12"/>
    </row>
    <row r="745">
      <c r="E745" s="12"/>
    </row>
    <row r="746">
      <c r="E746" s="12"/>
    </row>
    <row r="747">
      <c r="E747" s="12"/>
    </row>
    <row r="748">
      <c r="E748" s="12"/>
    </row>
    <row r="749">
      <c r="E749" s="12"/>
    </row>
    <row r="750">
      <c r="E750" s="12"/>
    </row>
    <row r="751">
      <c r="E751" s="12"/>
    </row>
    <row r="752">
      <c r="E752" s="12"/>
    </row>
    <row r="753">
      <c r="E753" s="12"/>
    </row>
    <row r="754">
      <c r="E754" s="12"/>
    </row>
    <row r="755">
      <c r="E755" s="12"/>
    </row>
    <row r="756">
      <c r="E756" s="12"/>
    </row>
    <row r="757">
      <c r="E757" s="12"/>
    </row>
    <row r="758">
      <c r="E758" s="12"/>
    </row>
    <row r="759">
      <c r="E759" s="12"/>
    </row>
    <row r="760">
      <c r="E760" s="12"/>
    </row>
    <row r="761">
      <c r="E761" s="12"/>
    </row>
    <row r="762">
      <c r="E762" s="12"/>
    </row>
    <row r="763">
      <c r="E763" s="12"/>
    </row>
    <row r="764">
      <c r="E764" s="12"/>
    </row>
    <row r="765">
      <c r="E765" s="12"/>
    </row>
    <row r="766">
      <c r="E766" s="12"/>
    </row>
    <row r="767">
      <c r="E767" s="12"/>
    </row>
    <row r="768">
      <c r="E768" s="12"/>
    </row>
    <row r="769">
      <c r="E769" s="12"/>
    </row>
    <row r="770">
      <c r="E770" s="12"/>
    </row>
    <row r="771">
      <c r="E771" s="12"/>
    </row>
    <row r="772">
      <c r="E772" s="12"/>
    </row>
    <row r="773">
      <c r="E773" s="12"/>
    </row>
    <row r="774">
      <c r="E774" s="12"/>
    </row>
    <row r="775">
      <c r="E775" s="12"/>
    </row>
    <row r="776">
      <c r="E776" s="12"/>
    </row>
    <row r="777">
      <c r="E777" s="12"/>
    </row>
    <row r="778">
      <c r="E778" s="12"/>
    </row>
    <row r="779">
      <c r="E779" s="12"/>
    </row>
    <row r="780">
      <c r="E780" s="12"/>
    </row>
    <row r="781">
      <c r="E781" s="12"/>
    </row>
    <row r="782">
      <c r="E782" s="12"/>
    </row>
    <row r="783">
      <c r="E783" s="12"/>
    </row>
    <row r="784">
      <c r="E784" s="12"/>
    </row>
    <row r="785">
      <c r="E785" s="12"/>
    </row>
    <row r="786">
      <c r="E786" s="12"/>
    </row>
    <row r="787">
      <c r="E787" s="12"/>
    </row>
    <row r="788">
      <c r="E788" s="12"/>
    </row>
    <row r="789">
      <c r="E789" s="12"/>
    </row>
    <row r="790">
      <c r="E790" s="12"/>
    </row>
    <row r="791">
      <c r="E791" s="12"/>
    </row>
    <row r="792">
      <c r="E792" s="12"/>
    </row>
    <row r="793">
      <c r="E793" s="12"/>
    </row>
    <row r="794">
      <c r="E794" s="12"/>
    </row>
    <row r="795">
      <c r="E795" s="12"/>
    </row>
    <row r="796">
      <c r="E796" s="12"/>
    </row>
    <row r="797">
      <c r="E797" s="12"/>
    </row>
    <row r="798">
      <c r="E798" s="12"/>
    </row>
    <row r="799">
      <c r="E799" s="12"/>
    </row>
    <row r="800">
      <c r="E800" s="12"/>
    </row>
    <row r="801">
      <c r="E801" s="12"/>
    </row>
    <row r="802">
      <c r="E802" s="12"/>
    </row>
    <row r="803">
      <c r="E803" s="12"/>
    </row>
    <row r="804">
      <c r="E804" s="12"/>
    </row>
    <row r="805">
      <c r="E805" s="12"/>
    </row>
    <row r="806">
      <c r="E806" s="12"/>
    </row>
    <row r="807">
      <c r="E807" s="12"/>
    </row>
    <row r="808">
      <c r="E808" s="12"/>
    </row>
    <row r="809">
      <c r="E809" s="12"/>
    </row>
    <row r="810">
      <c r="E810" s="12"/>
    </row>
    <row r="811">
      <c r="E811" s="12"/>
    </row>
    <row r="812">
      <c r="E812" s="12"/>
    </row>
    <row r="813">
      <c r="E813" s="12"/>
    </row>
    <row r="814">
      <c r="E814" s="12"/>
    </row>
    <row r="815">
      <c r="E815" s="12"/>
    </row>
    <row r="816">
      <c r="E816" s="12"/>
    </row>
    <row r="817">
      <c r="E817" s="12"/>
    </row>
    <row r="818">
      <c r="E818" s="12"/>
    </row>
    <row r="819">
      <c r="E819" s="12"/>
    </row>
    <row r="820">
      <c r="E820" s="12"/>
    </row>
    <row r="821">
      <c r="E821" s="12"/>
    </row>
    <row r="822">
      <c r="E822" s="12"/>
    </row>
    <row r="823">
      <c r="E823" s="12"/>
    </row>
    <row r="824">
      <c r="E824" s="12"/>
    </row>
    <row r="825">
      <c r="E825" s="12"/>
    </row>
    <row r="826">
      <c r="E826" s="12"/>
    </row>
    <row r="827">
      <c r="E827" s="12"/>
    </row>
    <row r="828">
      <c r="E828" s="12"/>
    </row>
    <row r="829">
      <c r="E829" s="12"/>
    </row>
    <row r="830">
      <c r="E830" s="12"/>
    </row>
    <row r="831">
      <c r="E831" s="12"/>
    </row>
    <row r="832">
      <c r="E832" s="12"/>
    </row>
    <row r="833">
      <c r="E833" s="12"/>
    </row>
    <row r="834">
      <c r="E834" s="12"/>
    </row>
    <row r="835">
      <c r="E835" s="12"/>
    </row>
    <row r="836">
      <c r="E836" s="12"/>
    </row>
    <row r="837">
      <c r="E837" s="12"/>
    </row>
    <row r="838">
      <c r="E838" s="12"/>
    </row>
    <row r="839">
      <c r="E839" s="12"/>
    </row>
    <row r="840">
      <c r="E840" s="12"/>
    </row>
    <row r="841">
      <c r="E841" s="12"/>
    </row>
    <row r="842">
      <c r="E842" s="12"/>
    </row>
    <row r="843">
      <c r="E843" s="12"/>
    </row>
    <row r="844">
      <c r="E844" s="12"/>
    </row>
    <row r="845">
      <c r="E845" s="12"/>
    </row>
    <row r="846">
      <c r="E846" s="12"/>
    </row>
    <row r="847">
      <c r="E847" s="12"/>
    </row>
    <row r="848">
      <c r="E848" s="12"/>
    </row>
    <row r="849">
      <c r="E849" s="12"/>
    </row>
    <row r="850">
      <c r="E850" s="12"/>
    </row>
    <row r="851">
      <c r="E851" s="12"/>
    </row>
    <row r="852">
      <c r="E852" s="12"/>
    </row>
    <row r="853">
      <c r="E853" s="12"/>
    </row>
    <row r="854">
      <c r="E854" s="12"/>
    </row>
    <row r="855">
      <c r="E855" s="12"/>
    </row>
    <row r="856">
      <c r="E856" s="12"/>
    </row>
    <row r="857">
      <c r="E857" s="12"/>
    </row>
    <row r="858">
      <c r="E858" s="12"/>
    </row>
    <row r="859">
      <c r="E859" s="12"/>
    </row>
    <row r="860">
      <c r="E860" s="12"/>
    </row>
    <row r="861">
      <c r="E861" s="12"/>
    </row>
    <row r="862">
      <c r="E862" s="12"/>
    </row>
    <row r="863">
      <c r="E863" s="12"/>
    </row>
    <row r="864">
      <c r="E864" s="12"/>
    </row>
    <row r="865">
      <c r="E865" s="12"/>
    </row>
    <row r="866">
      <c r="E866" s="12"/>
    </row>
    <row r="867">
      <c r="E867" s="12"/>
    </row>
    <row r="868">
      <c r="E868" s="12"/>
    </row>
    <row r="869">
      <c r="E869" s="12"/>
    </row>
    <row r="870">
      <c r="E870" s="12"/>
    </row>
    <row r="871">
      <c r="E871" s="12"/>
    </row>
    <row r="872">
      <c r="E872" s="12"/>
    </row>
    <row r="873">
      <c r="E873" s="12"/>
    </row>
    <row r="874">
      <c r="E874" s="12"/>
    </row>
    <row r="875">
      <c r="E875" s="12"/>
    </row>
    <row r="876">
      <c r="E876" s="12"/>
    </row>
    <row r="877">
      <c r="E877" s="12"/>
    </row>
    <row r="878">
      <c r="E878" s="12"/>
    </row>
    <row r="879">
      <c r="E879" s="12"/>
    </row>
    <row r="880">
      <c r="E880" s="12"/>
    </row>
    <row r="881">
      <c r="E881" s="12"/>
    </row>
    <row r="882">
      <c r="E882" s="12"/>
    </row>
    <row r="883">
      <c r="E883" s="12"/>
    </row>
    <row r="884">
      <c r="E884" s="12"/>
    </row>
    <row r="885">
      <c r="E885" s="12"/>
    </row>
    <row r="886">
      <c r="E886" s="12"/>
    </row>
    <row r="887">
      <c r="E887" s="12"/>
    </row>
    <row r="888">
      <c r="E888" s="12"/>
    </row>
    <row r="889">
      <c r="E889" s="12"/>
    </row>
    <row r="890">
      <c r="E890" s="12"/>
    </row>
    <row r="891">
      <c r="E891" s="12"/>
    </row>
    <row r="892">
      <c r="E892" s="12"/>
    </row>
    <row r="893">
      <c r="E893" s="12"/>
    </row>
    <row r="894">
      <c r="E894" s="12"/>
    </row>
    <row r="895">
      <c r="E895" s="12"/>
    </row>
    <row r="896">
      <c r="E896" s="12"/>
    </row>
    <row r="897">
      <c r="E897" s="12"/>
    </row>
    <row r="898">
      <c r="E898" s="12"/>
    </row>
    <row r="899">
      <c r="E899" s="12"/>
    </row>
    <row r="900">
      <c r="E900" s="12"/>
    </row>
    <row r="901">
      <c r="E901" s="12"/>
    </row>
    <row r="902">
      <c r="E902" s="12"/>
    </row>
    <row r="903">
      <c r="E903" s="12"/>
    </row>
    <row r="904">
      <c r="E904" s="12"/>
    </row>
    <row r="905">
      <c r="E905" s="12"/>
    </row>
    <row r="906">
      <c r="E906" s="12"/>
    </row>
    <row r="907">
      <c r="E907" s="12"/>
    </row>
    <row r="908">
      <c r="E908" s="12"/>
    </row>
    <row r="909">
      <c r="E909" s="12"/>
    </row>
    <row r="910">
      <c r="E910" s="12"/>
    </row>
    <row r="911">
      <c r="E911" s="12"/>
    </row>
    <row r="912">
      <c r="E912" s="12"/>
    </row>
    <row r="913">
      <c r="E913" s="12"/>
    </row>
    <row r="914">
      <c r="E914" s="12"/>
    </row>
    <row r="915">
      <c r="E915" s="12"/>
    </row>
    <row r="916">
      <c r="E916" s="12"/>
    </row>
    <row r="917">
      <c r="E917" s="12"/>
    </row>
    <row r="918">
      <c r="E918" s="12"/>
    </row>
    <row r="919">
      <c r="E919" s="12"/>
    </row>
    <row r="920">
      <c r="E920" s="12"/>
    </row>
    <row r="921">
      <c r="E921" s="12"/>
    </row>
    <row r="922">
      <c r="E922" s="12"/>
    </row>
    <row r="923">
      <c r="E923" s="12"/>
    </row>
    <row r="924">
      <c r="E924" s="12"/>
    </row>
    <row r="925">
      <c r="E925" s="12"/>
    </row>
    <row r="926">
      <c r="E926" s="12"/>
    </row>
    <row r="927">
      <c r="E927" s="12"/>
    </row>
    <row r="928">
      <c r="E928" s="12"/>
    </row>
    <row r="929">
      <c r="E929" s="12"/>
    </row>
    <row r="930">
      <c r="E930" s="12"/>
    </row>
    <row r="931">
      <c r="E931" s="12"/>
    </row>
    <row r="932">
      <c r="E932" s="12"/>
    </row>
    <row r="933">
      <c r="E933" s="12"/>
    </row>
    <row r="934">
      <c r="E934" s="12"/>
    </row>
    <row r="935">
      <c r="E935" s="12"/>
    </row>
    <row r="936">
      <c r="E936" s="12"/>
    </row>
    <row r="937">
      <c r="E937" s="12"/>
    </row>
    <row r="938">
      <c r="E938" s="12"/>
    </row>
    <row r="939">
      <c r="E939" s="12"/>
    </row>
    <row r="940">
      <c r="E940" s="12"/>
    </row>
    <row r="941">
      <c r="E941" s="12"/>
    </row>
    <row r="942">
      <c r="E942" s="12"/>
    </row>
    <row r="943">
      <c r="E943" s="12"/>
    </row>
    <row r="944">
      <c r="E944" s="12"/>
    </row>
    <row r="945">
      <c r="E945" s="12"/>
    </row>
    <row r="946">
      <c r="E946" s="12"/>
    </row>
    <row r="947">
      <c r="E947" s="12"/>
    </row>
    <row r="948">
      <c r="E948" s="12"/>
    </row>
    <row r="949">
      <c r="E949" s="12"/>
    </row>
    <row r="950">
      <c r="E950" s="12"/>
    </row>
    <row r="951">
      <c r="E951" s="12"/>
    </row>
    <row r="952">
      <c r="E952" s="12"/>
    </row>
    <row r="953">
      <c r="E953" s="12"/>
    </row>
    <row r="954">
      <c r="E954" s="12"/>
    </row>
    <row r="955">
      <c r="E955" s="12"/>
    </row>
    <row r="956">
      <c r="E956" s="12"/>
    </row>
    <row r="957">
      <c r="E957" s="12"/>
    </row>
    <row r="958">
      <c r="E958" s="12"/>
    </row>
    <row r="959">
      <c r="E959" s="12"/>
    </row>
    <row r="960">
      <c r="E960" s="12"/>
    </row>
    <row r="961">
      <c r="E961" s="12"/>
    </row>
    <row r="962">
      <c r="E962" s="12"/>
    </row>
    <row r="963">
      <c r="E963" s="12"/>
    </row>
    <row r="964">
      <c r="E964" s="12"/>
    </row>
    <row r="965">
      <c r="E965" s="12"/>
    </row>
    <row r="966">
      <c r="E966" s="12"/>
    </row>
    <row r="967">
      <c r="E967" s="12"/>
    </row>
    <row r="968">
      <c r="E968" s="12"/>
    </row>
    <row r="969">
      <c r="E969" s="12"/>
    </row>
    <row r="970">
      <c r="E970" s="12"/>
    </row>
    <row r="971">
      <c r="E971" s="12"/>
    </row>
    <row r="972">
      <c r="E972" s="12"/>
    </row>
    <row r="973">
      <c r="E973" s="12"/>
    </row>
    <row r="974">
      <c r="E974" s="12"/>
    </row>
    <row r="975">
      <c r="E975" s="12"/>
    </row>
    <row r="976">
      <c r="E976" s="12"/>
    </row>
    <row r="977">
      <c r="E977" s="12"/>
    </row>
    <row r="978">
      <c r="E978" s="12"/>
    </row>
    <row r="979">
      <c r="E979" s="12"/>
    </row>
    <row r="980">
      <c r="E980" s="12"/>
    </row>
    <row r="981">
      <c r="E981" s="12"/>
    </row>
    <row r="982">
      <c r="E982" s="12"/>
    </row>
    <row r="983">
      <c r="E983" s="12"/>
    </row>
    <row r="984">
      <c r="E984" s="12"/>
    </row>
    <row r="985">
      <c r="E985" s="12"/>
    </row>
    <row r="986">
      <c r="E986" s="12"/>
    </row>
    <row r="987">
      <c r="E987" s="12"/>
    </row>
    <row r="988">
      <c r="E988" s="12"/>
    </row>
    <row r="989">
      <c r="E989" s="12"/>
    </row>
    <row r="990">
      <c r="E990" s="12"/>
    </row>
    <row r="991">
      <c r="E991" s="12"/>
    </row>
    <row r="992">
      <c r="E992" s="12"/>
    </row>
    <row r="993">
      <c r="E993" s="12"/>
    </row>
    <row r="994">
      <c r="E994" s="12"/>
    </row>
    <row r="995">
      <c r="E995" s="12"/>
    </row>
    <row r="996">
      <c r="E996" s="12"/>
    </row>
    <row r="997">
      <c r="E997" s="12"/>
    </row>
    <row r="998">
      <c r="E998" s="12"/>
    </row>
    <row r="999">
      <c r="E999" s="12"/>
    </row>
    <row r="1000">
      <c r="E1000" s="12"/>
    </row>
  </sheetData>
  <hyperlinks>
    <hyperlink r:id="rId1" ref="F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1.13"/>
    <col customWidth="1" min="2" max="2" width="32.0"/>
    <col customWidth="1" min="3" max="7" width="19.38"/>
    <col customWidth="1" min="8" max="9" width="40.75"/>
    <col customWidth="1" min="10" max="10" width="19.38"/>
    <col customWidth="1" min="26" max="26" width="19.38"/>
  </cols>
  <sheetData>
    <row r="1" ht="27.0" customHeight="1">
      <c r="A1" s="5" t="s">
        <v>2</v>
      </c>
      <c r="B1" s="7" t="s">
        <v>8</v>
      </c>
      <c r="C1" s="10" t="s">
        <v>11</v>
      </c>
      <c r="D1" s="10" t="s">
        <v>14</v>
      </c>
      <c r="E1" s="10" t="s">
        <v>16</v>
      </c>
      <c r="F1" s="10" t="s">
        <v>18</v>
      </c>
      <c r="G1" s="10" t="s">
        <v>20</v>
      </c>
      <c r="H1" s="15" t="s">
        <v>23</v>
      </c>
      <c r="I1" s="15" t="s">
        <v>24</v>
      </c>
      <c r="J1" s="10" t="s">
        <v>25</v>
      </c>
      <c r="K1" s="17"/>
      <c r="L1" s="17"/>
      <c r="M1" s="17"/>
      <c r="N1" s="17"/>
      <c r="O1" s="17"/>
      <c r="P1" s="17"/>
      <c r="Q1" s="17"/>
      <c r="R1" s="17"/>
      <c r="S1" s="17"/>
      <c r="T1" s="17"/>
      <c r="U1" s="17"/>
      <c r="V1" s="17"/>
      <c r="W1" s="17"/>
      <c r="X1" s="17"/>
      <c r="Y1" s="17"/>
      <c r="Z1" s="10"/>
    </row>
    <row r="2">
      <c r="A2" s="24" t="s">
        <v>30</v>
      </c>
      <c r="B2" s="24"/>
      <c r="C2" s="24" t="s">
        <v>34</v>
      </c>
      <c r="D2" s="26">
        <v>46237.0</v>
      </c>
      <c r="E2" s="24" t="s">
        <v>38</v>
      </c>
      <c r="F2" s="24" t="s">
        <v>39</v>
      </c>
      <c r="G2" s="24" t="s">
        <v>41</v>
      </c>
      <c r="H2" s="24" t="s">
        <v>42</v>
      </c>
      <c r="I2" s="24" t="s">
        <v>45</v>
      </c>
      <c r="J2" s="20"/>
      <c r="Z2" s="24"/>
    </row>
    <row r="3">
      <c r="A3" s="24"/>
      <c r="B3" s="24" t="s">
        <v>52</v>
      </c>
      <c r="C3" s="24" t="s">
        <v>57</v>
      </c>
      <c r="D3" s="26">
        <v>46238.0</v>
      </c>
      <c r="E3" s="24" t="s">
        <v>38</v>
      </c>
      <c r="F3" s="24" t="s">
        <v>60</v>
      </c>
      <c r="G3" s="24" t="s">
        <v>41</v>
      </c>
      <c r="H3" s="24"/>
      <c r="I3" s="24" t="s">
        <v>65</v>
      </c>
      <c r="J3" s="20"/>
      <c r="Z3" s="24"/>
    </row>
    <row r="4">
      <c r="A4" s="24" t="s">
        <v>69</v>
      </c>
      <c r="C4" s="24" t="s">
        <v>34</v>
      </c>
      <c r="D4" s="26">
        <v>46246.0</v>
      </c>
      <c r="E4" s="24" t="s">
        <v>38</v>
      </c>
      <c r="F4" s="24" t="s">
        <v>60</v>
      </c>
      <c r="G4" s="24" t="s">
        <v>41</v>
      </c>
      <c r="H4" s="24"/>
      <c r="I4" s="24"/>
      <c r="J4" s="20"/>
      <c r="Z4" s="24"/>
    </row>
    <row r="5">
      <c r="A5" s="24"/>
      <c r="B5" s="24" t="s">
        <v>79</v>
      </c>
      <c r="C5" s="24" t="s">
        <v>81</v>
      </c>
      <c r="D5" s="26">
        <v>46247.0</v>
      </c>
      <c r="E5" s="24" t="s">
        <v>38</v>
      </c>
      <c r="F5" s="24" t="s">
        <v>60</v>
      </c>
      <c r="G5" s="24" t="s">
        <v>41</v>
      </c>
      <c r="H5" s="24" t="s">
        <v>87</v>
      </c>
      <c r="I5" s="24" t="s">
        <v>90</v>
      </c>
      <c r="J5" s="20"/>
      <c r="Z5" s="24"/>
    </row>
    <row r="6">
      <c r="A6" s="24"/>
      <c r="B6" s="24" t="s">
        <v>94</v>
      </c>
      <c r="C6" s="24" t="s">
        <v>34</v>
      </c>
      <c r="D6" s="26">
        <v>46248.0</v>
      </c>
      <c r="E6" s="24" t="s">
        <v>38</v>
      </c>
      <c r="F6" s="24" t="s">
        <v>60</v>
      </c>
      <c r="G6" s="24" t="s">
        <v>41</v>
      </c>
      <c r="H6" s="24" t="s">
        <v>87</v>
      </c>
      <c r="I6" s="24" t="s">
        <v>100</v>
      </c>
      <c r="J6" s="20"/>
      <c r="Z6" s="24"/>
    </row>
    <row r="7">
      <c r="A7" s="24" t="s">
        <v>103</v>
      </c>
      <c r="B7" s="20"/>
      <c r="C7" s="24" t="s">
        <v>34</v>
      </c>
      <c r="D7" s="26">
        <v>46237.0</v>
      </c>
      <c r="E7" s="24" t="s">
        <v>38</v>
      </c>
      <c r="F7" s="24" t="s">
        <v>60</v>
      </c>
      <c r="G7" s="24" t="s">
        <v>41</v>
      </c>
      <c r="I7" s="24"/>
      <c r="J7" s="20"/>
      <c r="Z7" s="24"/>
    </row>
    <row r="8">
      <c r="A8" s="24"/>
      <c r="B8" s="24" t="s">
        <v>111</v>
      </c>
      <c r="C8" s="24" t="s">
        <v>81</v>
      </c>
      <c r="D8" s="26">
        <v>46247.0</v>
      </c>
      <c r="E8" s="24"/>
      <c r="F8" s="24"/>
      <c r="G8" s="24" t="s">
        <v>41</v>
      </c>
      <c r="H8" s="24" t="s">
        <v>117</v>
      </c>
      <c r="I8" s="24" t="s">
        <v>90</v>
      </c>
      <c r="J8" s="20"/>
      <c r="Z8" s="24"/>
    </row>
    <row r="9">
      <c r="A9" s="24"/>
      <c r="B9" s="24" t="s">
        <v>125</v>
      </c>
      <c r="C9" s="24" t="s">
        <v>57</v>
      </c>
      <c r="D9" s="26">
        <v>46238.0</v>
      </c>
      <c r="E9" s="24"/>
      <c r="F9" s="24" t="s">
        <v>60</v>
      </c>
      <c r="G9" s="24" t="s">
        <v>41</v>
      </c>
      <c r="H9" s="24" t="s">
        <v>132</v>
      </c>
      <c r="I9" s="24" t="s">
        <v>134</v>
      </c>
      <c r="J9" s="20"/>
      <c r="Z9" s="24"/>
    </row>
    <row r="10">
      <c r="A10" s="24" t="s">
        <v>139</v>
      </c>
      <c r="B10" s="20"/>
      <c r="C10" s="24" t="s">
        <v>34</v>
      </c>
      <c r="D10" s="26">
        <v>46238.0</v>
      </c>
      <c r="E10" s="24" t="s">
        <v>38</v>
      </c>
      <c r="F10" s="24" t="s">
        <v>60</v>
      </c>
      <c r="G10" s="24" t="s">
        <v>41</v>
      </c>
      <c r="H10" s="24"/>
      <c r="J10" s="20"/>
      <c r="Z10" s="24"/>
    </row>
    <row r="11">
      <c r="A11" s="24"/>
      <c r="B11" s="24" t="s">
        <v>154</v>
      </c>
      <c r="C11" s="24" t="s">
        <v>34</v>
      </c>
      <c r="D11" s="26">
        <v>46248.0</v>
      </c>
      <c r="E11" s="24"/>
      <c r="F11" s="24" t="s">
        <v>60</v>
      </c>
      <c r="G11" s="24" t="s">
        <v>41</v>
      </c>
      <c r="H11" s="24" t="s">
        <v>157</v>
      </c>
      <c r="I11" s="24" t="s">
        <v>158</v>
      </c>
      <c r="J11" s="20"/>
      <c r="Z11" s="24"/>
    </row>
    <row r="12">
      <c r="A12" s="24" t="s">
        <v>159</v>
      </c>
      <c r="B12" s="20"/>
      <c r="C12" s="24" t="s">
        <v>34</v>
      </c>
      <c r="D12" s="26">
        <v>46239.0</v>
      </c>
      <c r="E12" s="24" t="s">
        <v>160</v>
      </c>
      <c r="F12" s="24" t="s">
        <v>60</v>
      </c>
      <c r="G12" s="24" t="s">
        <v>41</v>
      </c>
      <c r="J12" s="20"/>
      <c r="Z12" s="24"/>
    </row>
    <row r="13">
      <c r="A13" s="24"/>
      <c r="B13" s="24" t="s">
        <v>163</v>
      </c>
      <c r="C13" s="24" t="s">
        <v>57</v>
      </c>
      <c r="D13" s="26">
        <v>46244.0</v>
      </c>
      <c r="E13" s="24"/>
      <c r="F13" s="24"/>
      <c r="G13" s="24" t="s">
        <v>41</v>
      </c>
      <c r="H13" s="24" t="s">
        <v>168</v>
      </c>
      <c r="I13" s="24" t="s">
        <v>169</v>
      </c>
      <c r="J13" s="20"/>
      <c r="Z13" s="24"/>
    </row>
    <row r="14">
      <c r="A14" s="24"/>
      <c r="B14" s="24" t="s">
        <v>172</v>
      </c>
      <c r="C14" s="24" t="s">
        <v>34</v>
      </c>
      <c r="D14" s="26">
        <v>46251.0</v>
      </c>
      <c r="E14" s="24"/>
      <c r="F14" s="24" t="s">
        <v>60</v>
      </c>
      <c r="G14" s="24" t="s">
        <v>41</v>
      </c>
      <c r="H14" s="24" t="s">
        <v>180</v>
      </c>
      <c r="I14" s="24" t="s">
        <v>181</v>
      </c>
      <c r="J14" s="20"/>
      <c r="Z14" s="24"/>
    </row>
    <row r="15">
      <c r="A15" s="24" t="s">
        <v>185</v>
      </c>
      <c r="B15" s="20"/>
      <c r="C15" s="24" t="s">
        <v>34</v>
      </c>
      <c r="D15" s="26">
        <v>46251.0</v>
      </c>
      <c r="E15" s="24" t="s">
        <v>160</v>
      </c>
      <c r="F15" s="24" t="s">
        <v>60</v>
      </c>
      <c r="G15" s="24" t="s">
        <v>41</v>
      </c>
      <c r="H15" s="24"/>
      <c r="I15" s="24" t="s">
        <v>169</v>
      </c>
      <c r="J15" s="20"/>
      <c r="Z15" s="24"/>
    </row>
    <row r="16">
      <c r="A16" s="24"/>
      <c r="B16" s="24" t="s">
        <v>191</v>
      </c>
      <c r="C16" s="24" t="s">
        <v>57</v>
      </c>
      <c r="D16" s="26">
        <v>46245.0</v>
      </c>
      <c r="E16" s="24"/>
      <c r="F16" s="24"/>
      <c r="G16" s="24" t="s">
        <v>41</v>
      </c>
      <c r="H16" s="24" t="s">
        <v>194</v>
      </c>
      <c r="I16" s="24" t="s">
        <v>196</v>
      </c>
      <c r="J16" s="20"/>
      <c r="Z16" s="24"/>
    </row>
    <row r="17">
      <c r="A17" s="24"/>
      <c r="B17" s="24" t="s">
        <v>201</v>
      </c>
      <c r="C17" s="24" t="s">
        <v>34</v>
      </c>
      <c r="D17" s="26">
        <v>46251.0</v>
      </c>
      <c r="E17" s="24"/>
      <c r="F17" s="24" t="s">
        <v>60</v>
      </c>
      <c r="G17" s="24" t="s">
        <v>41</v>
      </c>
      <c r="H17" s="24" t="s">
        <v>208</v>
      </c>
      <c r="I17" s="24" t="s">
        <v>196</v>
      </c>
      <c r="J17" s="20"/>
      <c r="Z17" s="24"/>
    </row>
    <row r="18">
      <c r="A18" s="24" t="s">
        <v>210</v>
      </c>
      <c r="B18" s="20"/>
      <c r="C18" s="24" t="s">
        <v>34</v>
      </c>
      <c r="D18" s="26">
        <v>46240.0</v>
      </c>
      <c r="E18" s="24" t="s">
        <v>160</v>
      </c>
      <c r="F18" s="24" t="s">
        <v>60</v>
      </c>
      <c r="G18" s="24" t="s">
        <v>41</v>
      </c>
      <c r="H18" s="24" t="s">
        <v>212</v>
      </c>
      <c r="I18" s="24" t="s">
        <v>214</v>
      </c>
      <c r="J18" s="20"/>
      <c r="Z18" s="24"/>
    </row>
    <row r="19">
      <c r="A19" s="24"/>
      <c r="B19" s="24" t="s">
        <v>215</v>
      </c>
      <c r="C19" s="24" t="s">
        <v>34</v>
      </c>
      <c r="D19" s="26"/>
      <c r="E19" s="24"/>
      <c r="F19" s="24"/>
      <c r="G19" s="24" t="s">
        <v>41</v>
      </c>
      <c r="H19" s="24"/>
      <c r="I19" s="20"/>
      <c r="J19" s="20"/>
      <c r="Z19" s="24"/>
    </row>
    <row r="20">
      <c r="A20" s="24"/>
      <c r="B20" s="24" t="s">
        <v>219</v>
      </c>
      <c r="C20" s="24" t="s">
        <v>34</v>
      </c>
      <c r="D20" s="26"/>
      <c r="E20" s="24"/>
      <c r="F20" s="24" t="s">
        <v>60</v>
      </c>
      <c r="G20" s="24" t="s">
        <v>41</v>
      </c>
      <c r="H20" s="24"/>
      <c r="I20" s="20"/>
      <c r="J20" s="20"/>
      <c r="Z20" s="24"/>
    </row>
    <row r="21">
      <c r="A21" s="24" t="s">
        <v>224</v>
      </c>
      <c r="B21" s="20"/>
      <c r="C21" s="24" t="s">
        <v>34</v>
      </c>
      <c r="D21" s="26"/>
      <c r="E21" s="24" t="s">
        <v>160</v>
      </c>
      <c r="F21" s="24" t="s">
        <v>60</v>
      </c>
      <c r="G21" s="24" t="s">
        <v>41</v>
      </c>
      <c r="H21" s="24" t="s">
        <v>225</v>
      </c>
      <c r="J21" s="20"/>
      <c r="Z21" s="24"/>
    </row>
    <row r="22">
      <c r="A22" s="24"/>
      <c r="B22" s="24" t="s">
        <v>231</v>
      </c>
      <c r="C22" s="24" t="s">
        <v>57</v>
      </c>
      <c r="D22" s="26">
        <v>46245.0</v>
      </c>
      <c r="E22" s="24"/>
      <c r="F22" s="24"/>
      <c r="G22" s="24" t="s">
        <v>41</v>
      </c>
      <c r="H22" s="24"/>
      <c r="I22" s="24" t="s">
        <v>235</v>
      </c>
      <c r="J22" s="20"/>
      <c r="Z22" s="24"/>
    </row>
    <row r="23">
      <c r="A23" s="24"/>
      <c r="B23" s="24" t="s">
        <v>239</v>
      </c>
      <c r="C23" s="24" t="s">
        <v>34</v>
      </c>
      <c r="D23" s="26"/>
      <c r="E23" s="24"/>
      <c r="F23" s="24" t="s">
        <v>60</v>
      </c>
      <c r="G23" s="24" t="s">
        <v>41</v>
      </c>
      <c r="H23" s="24"/>
      <c r="I23" s="24"/>
      <c r="J23" s="20"/>
      <c r="Z23" s="24"/>
    </row>
    <row r="24">
      <c r="A24" s="24" t="s">
        <v>242</v>
      </c>
      <c r="B24" s="20"/>
      <c r="C24" s="24" t="s">
        <v>34</v>
      </c>
      <c r="D24" s="26">
        <v>46241.0</v>
      </c>
      <c r="E24" s="24" t="s">
        <v>160</v>
      </c>
      <c r="F24" s="24" t="s">
        <v>60</v>
      </c>
      <c r="G24" s="24" t="s">
        <v>41</v>
      </c>
      <c r="H24" s="24" t="s">
        <v>248</v>
      </c>
      <c r="I24" s="20"/>
      <c r="J24" s="20"/>
      <c r="Z24" s="24"/>
    </row>
    <row r="25">
      <c r="A25" s="24"/>
      <c r="B25" s="24" t="s">
        <v>252</v>
      </c>
      <c r="C25" s="24" t="s">
        <v>57</v>
      </c>
      <c r="D25" s="26">
        <v>46245.0</v>
      </c>
      <c r="E25" s="24"/>
      <c r="F25" s="24" t="s">
        <v>60</v>
      </c>
      <c r="G25" s="24" t="s">
        <v>41</v>
      </c>
      <c r="H25" s="24"/>
      <c r="I25" s="24" t="s">
        <v>258</v>
      </c>
      <c r="J25" s="20"/>
      <c r="Z25" s="24"/>
    </row>
    <row r="26">
      <c r="A26" s="24"/>
      <c r="B26" s="24" t="s">
        <v>262</v>
      </c>
      <c r="C26" s="24" t="s">
        <v>34</v>
      </c>
      <c r="D26" s="26"/>
      <c r="E26" s="24"/>
      <c r="F26" s="24" t="s">
        <v>60</v>
      </c>
      <c r="G26" s="24" t="s">
        <v>41</v>
      </c>
      <c r="H26" s="24"/>
      <c r="I26" s="20"/>
      <c r="J26" s="20"/>
      <c r="Z26" s="24"/>
    </row>
    <row r="27">
      <c r="A27" s="24"/>
      <c r="B27" s="24" t="s">
        <v>269</v>
      </c>
      <c r="C27" s="24" t="s">
        <v>34</v>
      </c>
      <c r="D27" s="26"/>
      <c r="E27" s="24"/>
      <c r="F27" s="24" t="s">
        <v>60</v>
      </c>
      <c r="G27" s="24" t="s">
        <v>41</v>
      </c>
      <c r="H27" s="24"/>
      <c r="I27" s="20"/>
      <c r="J27" s="20"/>
      <c r="Z27" s="24"/>
    </row>
    <row r="28">
      <c r="A28" s="24"/>
      <c r="B28" s="24" t="s">
        <v>273</v>
      </c>
      <c r="C28" s="24" t="s">
        <v>34</v>
      </c>
      <c r="D28" s="26"/>
      <c r="E28" s="24"/>
      <c r="F28" s="24" t="s">
        <v>60</v>
      </c>
      <c r="G28" s="24" t="s">
        <v>41</v>
      </c>
      <c r="H28" s="24"/>
      <c r="I28" s="20"/>
      <c r="J28" s="20"/>
      <c r="Z28" s="24"/>
    </row>
    <row r="29">
      <c r="A29" s="24" t="s">
        <v>277</v>
      </c>
      <c r="B29" s="24"/>
      <c r="C29" s="24" t="s">
        <v>34</v>
      </c>
      <c r="D29" s="26">
        <v>46247.0</v>
      </c>
      <c r="E29" s="24" t="s">
        <v>280</v>
      </c>
      <c r="F29" s="24" t="s">
        <v>60</v>
      </c>
      <c r="G29" s="24" t="s">
        <v>41</v>
      </c>
      <c r="H29" s="24"/>
      <c r="I29" s="24" t="s">
        <v>283</v>
      </c>
      <c r="J29" s="20"/>
      <c r="Z29" s="24"/>
    </row>
    <row r="30">
      <c r="A30" s="24"/>
      <c r="B30" s="24" t="s">
        <v>286</v>
      </c>
      <c r="C30" s="24" t="s">
        <v>34</v>
      </c>
      <c r="D30" s="26"/>
      <c r="E30" s="24"/>
      <c r="F30" s="24"/>
      <c r="G30" s="24" t="s">
        <v>41</v>
      </c>
      <c r="H30" s="24"/>
      <c r="I30" s="20"/>
      <c r="J30" s="20"/>
      <c r="Z30" s="24"/>
    </row>
    <row r="31">
      <c r="A31" s="24"/>
      <c r="B31" s="24" t="s">
        <v>292</v>
      </c>
      <c r="C31" s="24" t="s">
        <v>34</v>
      </c>
      <c r="D31" s="26"/>
      <c r="E31" s="24"/>
      <c r="F31" s="24"/>
      <c r="G31" s="24" t="s">
        <v>41</v>
      </c>
      <c r="H31" s="24"/>
      <c r="I31" s="20"/>
      <c r="J31" s="20"/>
      <c r="Z31" s="24"/>
    </row>
    <row r="32">
      <c r="A32" s="24" t="s">
        <v>299</v>
      </c>
      <c r="B32" s="24"/>
      <c r="C32" s="24" t="s">
        <v>34</v>
      </c>
      <c r="D32" s="26">
        <v>46242.0</v>
      </c>
      <c r="E32" s="24" t="s">
        <v>302</v>
      </c>
      <c r="F32" s="24" t="s">
        <v>60</v>
      </c>
      <c r="G32" s="24" t="s">
        <v>41</v>
      </c>
      <c r="H32" s="24" t="s">
        <v>305</v>
      </c>
      <c r="J32" s="20"/>
      <c r="Z32" s="24"/>
    </row>
    <row r="33">
      <c r="A33" s="24"/>
      <c r="B33" s="24" t="s">
        <v>309</v>
      </c>
      <c r="C33" s="24" t="s">
        <v>57</v>
      </c>
      <c r="D33" s="26">
        <v>46243.0</v>
      </c>
      <c r="E33" s="24"/>
      <c r="F33" s="24"/>
      <c r="G33" s="24" t="s">
        <v>41</v>
      </c>
      <c r="H33" s="24"/>
      <c r="I33" s="24" t="s">
        <v>312</v>
      </c>
      <c r="J33" s="24" t="s">
        <v>313</v>
      </c>
      <c r="Z33" s="24"/>
    </row>
    <row r="34">
      <c r="A34" s="24"/>
      <c r="B34" s="24" t="s">
        <v>315</v>
      </c>
      <c r="C34" s="24" t="s">
        <v>57</v>
      </c>
      <c r="D34" s="26">
        <v>46246.0</v>
      </c>
      <c r="E34" s="24"/>
      <c r="F34" s="24"/>
      <c r="G34" s="24" t="s">
        <v>41</v>
      </c>
      <c r="H34" s="24"/>
      <c r="I34" s="24" t="s">
        <v>319</v>
      </c>
      <c r="J34" s="20"/>
      <c r="Z34" s="24"/>
    </row>
    <row r="35">
      <c r="A35" s="24"/>
      <c r="B35" s="24" t="s">
        <v>322</v>
      </c>
      <c r="C35" s="24" t="s">
        <v>57</v>
      </c>
      <c r="D35" s="26">
        <v>46246.0</v>
      </c>
      <c r="E35" s="24"/>
      <c r="F35" s="24"/>
      <c r="G35" s="24" t="s">
        <v>41</v>
      </c>
      <c r="H35" s="24" t="s">
        <v>326</v>
      </c>
      <c r="I35" s="24" t="s">
        <v>327</v>
      </c>
      <c r="J35" s="20"/>
      <c r="Z35" s="24"/>
    </row>
    <row r="36">
      <c r="A36" s="24"/>
      <c r="B36" s="24" t="s">
        <v>328</v>
      </c>
      <c r="C36" s="24" t="s">
        <v>34</v>
      </c>
      <c r="D36" s="26"/>
      <c r="E36" s="24"/>
      <c r="F36" s="24"/>
      <c r="G36" s="24" t="s">
        <v>41</v>
      </c>
      <c r="H36" s="24"/>
      <c r="I36" s="20"/>
      <c r="J36" s="20"/>
      <c r="Z36" s="24"/>
    </row>
    <row r="37">
      <c r="A37" s="24" t="s">
        <v>336</v>
      </c>
      <c r="B37" s="20"/>
      <c r="C37" s="24" t="s">
        <v>34</v>
      </c>
      <c r="D37" s="20"/>
      <c r="E37" s="20"/>
      <c r="F37" s="20"/>
      <c r="G37" s="24" t="s">
        <v>41</v>
      </c>
      <c r="H37" s="20"/>
      <c r="I37" s="20"/>
      <c r="J37" s="20"/>
      <c r="Z37" s="20"/>
    </row>
    <row r="38">
      <c r="A38" s="20"/>
      <c r="B38" s="24" t="s">
        <v>342</v>
      </c>
      <c r="C38" s="24" t="s">
        <v>57</v>
      </c>
      <c r="D38" s="26">
        <v>46246.0</v>
      </c>
      <c r="E38" s="20"/>
      <c r="F38" s="20"/>
      <c r="G38" s="24" t="s">
        <v>41</v>
      </c>
      <c r="H38" s="20"/>
      <c r="I38" s="24" t="s">
        <v>344</v>
      </c>
      <c r="J38" s="20"/>
      <c r="Z38" s="20"/>
    </row>
    <row r="39">
      <c r="A39" s="24"/>
      <c r="B39" s="24" t="s">
        <v>345</v>
      </c>
      <c r="C39" s="24" t="s">
        <v>34</v>
      </c>
      <c r="D39" s="26"/>
      <c r="E39" s="24"/>
      <c r="F39" s="24"/>
      <c r="G39" s="24" t="s">
        <v>41</v>
      </c>
      <c r="H39" s="24"/>
      <c r="I39" s="20"/>
      <c r="J39" s="20"/>
      <c r="Z39" s="20"/>
    </row>
    <row r="40">
      <c r="A40" s="20"/>
      <c r="B40" s="24" t="s">
        <v>349</v>
      </c>
      <c r="C40" s="24" t="s">
        <v>34</v>
      </c>
      <c r="D40" s="20"/>
      <c r="E40" s="20"/>
      <c r="F40" s="20"/>
      <c r="G40" s="24" t="s">
        <v>41</v>
      </c>
      <c r="H40" s="20"/>
      <c r="I40" s="20"/>
      <c r="J40" s="20"/>
      <c r="Z40" s="20"/>
    </row>
    <row r="41">
      <c r="A41" s="20"/>
      <c r="B41" s="24" t="s">
        <v>356</v>
      </c>
      <c r="C41" s="24" t="s">
        <v>34</v>
      </c>
      <c r="D41" s="20"/>
      <c r="E41" s="20"/>
      <c r="F41" s="20"/>
      <c r="G41" s="24" t="s">
        <v>41</v>
      </c>
      <c r="H41" s="20"/>
      <c r="I41" s="20"/>
      <c r="J41" s="20"/>
      <c r="Z41" s="20"/>
    </row>
    <row r="42">
      <c r="A42" s="20"/>
      <c r="B42" s="20"/>
      <c r="C42" s="20"/>
      <c r="D42" s="20"/>
      <c r="E42" s="20"/>
      <c r="F42" s="20"/>
      <c r="G42" s="20"/>
      <c r="H42" s="20"/>
      <c r="I42" s="20"/>
      <c r="J42" s="20"/>
      <c r="Z42" s="20"/>
    </row>
    <row r="43">
      <c r="A43" s="20"/>
      <c r="B43" s="20"/>
      <c r="C43" s="20"/>
      <c r="D43" s="20"/>
      <c r="E43" s="20"/>
      <c r="F43" s="20"/>
      <c r="G43" s="20"/>
      <c r="H43" s="20"/>
      <c r="I43" s="20"/>
      <c r="J43" s="20"/>
      <c r="Z43" s="20"/>
    </row>
    <row r="44">
      <c r="A44" s="20"/>
      <c r="B44" s="20"/>
      <c r="C44" s="20"/>
      <c r="D44" s="20"/>
      <c r="E44" s="20"/>
      <c r="F44" s="20"/>
      <c r="G44" s="20"/>
      <c r="H44" s="20"/>
      <c r="I44" s="20"/>
      <c r="J44" s="20"/>
      <c r="Z44" s="20"/>
    </row>
    <row r="45">
      <c r="A45" s="20"/>
      <c r="B45" s="20"/>
      <c r="C45" s="20"/>
      <c r="D45" s="20"/>
      <c r="E45" s="20"/>
      <c r="F45" s="20"/>
      <c r="G45" s="20"/>
      <c r="H45" s="20"/>
      <c r="I45" s="20"/>
      <c r="J45" s="20"/>
      <c r="Z45" s="20"/>
    </row>
    <row r="46">
      <c r="A46" s="20"/>
      <c r="B46" s="20"/>
      <c r="C46" s="20"/>
      <c r="D46" s="20"/>
      <c r="E46" s="20"/>
      <c r="F46" s="20"/>
      <c r="G46" s="20"/>
      <c r="H46" s="20"/>
      <c r="I46" s="20"/>
      <c r="J46" s="20"/>
      <c r="Z46" s="20"/>
    </row>
    <row r="47">
      <c r="A47" s="20"/>
      <c r="B47" s="20"/>
      <c r="C47" s="20"/>
      <c r="D47" s="20"/>
      <c r="E47" s="20"/>
      <c r="F47" s="20"/>
      <c r="G47" s="20"/>
      <c r="H47" s="20"/>
      <c r="I47" s="20"/>
      <c r="J47" s="20"/>
      <c r="Z47" s="20"/>
    </row>
    <row r="48">
      <c r="A48" s="20"/>
      <c r="B48" s="20"/>
      <c r="C48" s="20"/>
      <c r="D48" s="20"/>
      <c r="E48" s="20"/>
      <c r="F48" s="20"/>
      <c r="G48" s="20"/>
      <c r="H48" s="20"/>
      <c r="I48" s="20"/>
      <c r="J48" s="20"/>
      <c r="Z48" s="20"/>
    </row>
    <row r="49">
      <c r="A49" s="20"/>
      <c r="B49" s="20"/>
      <c r="C49" s="20"/>
      <c r="D49" s="20"/>
      <c r="E49" s="20"/>
      <c r="F49" s="20"/>
      <c r="G49" s="20"/>
      <c r="H49" s="20"/>
      <c r="I49" s="20"/>
      <c r="J49" s="20"/>
      <c r="Z49" s="20"/>
    </row>
    <row r="50">
      <c r="A50" s="20"/>
      <c r="B50" s="20"/>
      <c r="C50" s="20"/>
      <c r="D50" s="20"/>
      <c r="E50" s="20"/>
      <c r="F50" s="20"/>
      <c r="G50" s="20"/>
      <c r="H50" s="20"/>
      <c r="I50" s="20"/>
      <c r="J50" s="20"/>
      <c r="Z50" s="20"/>
    </row>
    <row r="51">
      <c r="A51" s="20"/>
      <c r="B51" s="20"/>
      <c r="C51" s="20"/>
      <c r="D51" s="20"/>
      <c r="E51" s="20"/>
      <c r="F51" s="20"/>
      <c r="G51" s="20"/>
      <c r="H51" s="20"/>
      <c r="I51" s="20"/>
      <c r="J51" s="20"/>
      <c r="Z51" s="20"/>
    </row>
    <row r="52">
      <c r="A52" s="20"/>
      <c r="B52" s="20"/>
      <c r="C52" s="20"/>
      <c r="D52" s="20"/>
      <c r="E52" s="20"/>
      <c r="F52" s="20"/>
      <c r="G52" s="20"/>
      <c r="H52" s="20"/>
      <c r="I52" s="20"/>
      <c r="J52" s="20"/>
      <c r="Z52" s="20"/>
    </row>
    <row r="53">
      <c r="A53" s="20"/>
      <c r="B53" s="20"/>
      <c r="C53" s="20"/>
      <c r="D53" s="20"/>
      <c r="E53" s="20"/>
      <c r="F53" s="20"/>
      <c r="G53" s="20"/>
      <c r="H53" s="20"/>
      <c r="I53" s="20"/>
      <c r="J53" s="20"/>
      <c r="Z53" s="20"/>
    </row>
    <row r="54">
      <c r="A54" s="20"/>
      <c r="B54" s="20"/>
      <c r="C54" s="20"/>
      <c r="D54" s="20"/>
      <c r="E54" s="20"/>
      <c r="F54" s="20"/>
      <c r="G54" s="20"/>
      <c r="H54" s="20"/>
      <c r="I54" s="20"/>
      <c r="J54" s="20"/>
      <c r="Z54" s="20"/>
    </row>
    <row r="55">
      <c r="A55" s="20"/>
      <c r="B55" s="20"/>
      <c r="C55" s="20"/>
      <c r="D55" s="20"/>
      <c r="E55" s="20"/>
      <c r="F55" s="20"/>
      <c r="G55" s="20"/>
      <c r="H55" s="20"/>
      <c r="I55" s="20"/>
      <c r="J55" s="20"/>
      <c r="Z55" s="20"/>
    </row>
    <row r="56">
      <c r="A56" s="20"/>
      <c r="B56" s="20"/>
      <c r="C56" s="20"/>
      <c r="D56" s="20"/>
      <c r="E56" s="20"/>
      <c r="F56" s="20"/>
      <c r="G56" s="20"/>
      <c r="H56" s="20"/>
      <c r="I56" s="20"/>
      <c r="J56" s="20"/>
      <c r="Z56" s="20"/>
    </row>
    <row r="57">
      <c r="A57" s="20"/>
      <c r="B57" s="20"/>
      <c r="C57" s="20"/>
      <c r="D57" s="20"/>
      <c r="E57" s="20"/>
      <c r="F57" s="20"/>
      <c r="G57" s="20"/>
      <c r="H57" s="20"/>
      <c r="I57" s="20"/>
      <c r="J57" s="20"/>
      <c r="Z57" s="20"/>
    </row>
    <row r="58">
      <c r="A58" s="20"/>
      <c r="B58" s="20"/>
      <c r="C58" s="20"/>
      <c r="D58" s="20"/>
      <c r="E58" s="20"/>
      <c r="F58" s="20"/>
      <c r="G58" s="20"/>
      <c r="H58" s="20"/>
      <c r="I58" s="20"/>
      <c r="J58" s="20"/>
      <c r="Z58" s="20"/>
    </row>
    <row r="59">
      <c r="A59" s="20"/>
      <c r="B59" s="20"/>
      <c r="C59" s="20"/>
      <c r="D59" s="20"/>
      <c r="E59" s="20"/>
      <c r="F59" s="20"/>
      <c r="G59" s="20"/>
      <c r="H59" s="20"/>
      <c r="I59" s="20"/>
      <c r="J59" s="20"/>
      <c r="Z59" s="20"/>
    </row>
    <row r="60">
      <c r="A60" s="20"/>
      <c r="B60" s="20"/>
      <c r="C60" s="20"/>
      <c r="D60" s="20"/>
      <c r="E60" s="20"/>
      <c r="F60" s="20"/>
      <c r="G60" s="20"/>
      <c r="H60" s="20"/>
      <c r="I60" s="20"/>
      <c r="J60" s="20"/>
      <c r="Z60" s="20"/>
    </row>
    <row r="61">
      <c r="A61" s="20"/>
      <c r="B61" s="20"/>
      <c r="C61" s="20"/>
      <c r="D61" s="20"/>
      <c r="E61" s="20"/>
      <c r="F61" s="20"/>
      <c r="G61" s="20"/>
      <c r="H61" s="20"/>
      <c r="I61" s="20"/>
      <c r="J61" s="20"/>
      <c r="Z61" s="20"/>
    </row>
    <row r="62">
      <c r="A62" s="20"/>
      <c r="B62" s="20"/>
      <c r="C62" s="20"/>
      <c r="D62" s="20"/>
      <c r="E62" s="20"/>
      <c r="F62" s="20"/>
      <c r="G62" s="20"/>
      <c r="H62" s="20"/>
      <c r="I62" s="20"/>
      <c r="J62" s="20"/>
      <c r="Z62" s="20"/>
    </row>
    <row r="63">
      <c r="A63" s="20"/>
      <c r="B63" s="20"/>
      <c r="C63" s="20"/>
      <c r="D63" s="20"/>
      <c r="E63" s="20"/>
      <c r="F63" s="20"/>
      <c r="G63" s="20"/>
      <c r="H63" s="20"/>
      <c r="I63" s="20"/>
      <c r="J63" s="20"/>
      <c r="Z63" s="20"/>
    </row>
    <row r="64">
      <c r="A64" s="20"/>
      <c r="B64" s="20"/>
      <c r="C64" s="20"/>
      <c r="D64" s="20"/>
      <c r="E64" s="20"/>
      <c r="F64" s="20"/>
      <c r="G64" s="20"/>
      <c r="H64" s="20"/>
      <c r="I64" s="20"/>
      <c r="J64" s="20"/>
      <c r="Z64" s="20"/>
    </row>
    <row r="65">
      <c r="A65" s="20"/>
      <c r="B65" s="20"/>
      <c r="C65" s="20"/>
      <c r="D65" s="20"/>
      <c r="E65" s="20"/>
      <c r="F65" s="20"/>
      <c r="G65" s="20"/>
      <c r="H65" s="20"/>
      <c r="I65" s="20"/>
      <c r="J65" s="20"/>
      <c r="Z65" s="20"/>
    </row>
    <row r="66">
      <c r="A66" s="20"/>
      <c r="B66" s="20"/>
      <c r="C66" s="20"/>
      <c r="D66" s="20"/>
      <c r="E66" s="20"/>
      <c r="F66" s="20"/>
      <c r="G66" s="20"/>
      <c r="H66" s="20"/>
      <c r="I66" s="20"/>
      <c r="J66" s="20"/>
      <c r="Z66" s="20"/>
    </row>
    <row r="67">
      <c r="A67" s="20"/>
      <c r="B67" s="20"/>
      <c r="C67" s="20"/>
      <c r="D67" s="20"/>
      <c r="E67" s="20"/>
      <c r="F67" s="20"/>
      <c r="G67" s="20"/>
      <c r="H67" s="20"/>
      <c r="I67" s="20"/>
      <c r="J67" s="20"/>
      <c r="Z67" s="20"/>
    </row>
    <row r="68">
      <c r="A68" s="20"/>
      <c r="B68" s="20"/>
      <c r="C68" s="20"/>
      <c r="D68" s="20"/>
      <c r="E68" s="20"/>
      <c r="F68" s="20"/>
      <c r="G68" s="20"/>
      <c r="H68" s="20"/>
      <c r="I68" s="20"/>
      <c r="J68" s="20"/>
      <c r="Z68" s="20"/>
    </row>
    <row r="69">
      <c r="A69" s="20"/>
      <c r="B69" s="20"/>
      <c r="C69" s="20"/>
      <c r="D69" s="20"/>
      <c r="E69" s="20"/>
      <c r="F69" s="20"/>
      <c r="G69" s="20"/>
      <c r="H69" s="20"/>
      <c r="I69" s="20"/>
      <c r="J69" s="20"/>
      <c r="Z69" s="20"/>
    </row>
    <row r="70">
      <c r="A70" s="20"/>
      <c r="B70" s="20"/>
      <c r="C70" s="20"/>
      <c r="D70" s="20"/>
      <c r="E70" s="20"/>
      <c r="F70" s="20"/>
      <c r="G70" s="20"/>
      <c r="H70" s="20"/>
      <c r="I70" s="20"/>
      <c r="J70" s="20"/>
      <c r="Z70" s="20"/>
    </row>
    <row r="71">
      <c r="A71" s="20"/>
      <c r="B71" s="20"/>
      <c r="C71" s="20"/>
      <c r="D71" s="20"/>
      <c r="E71" s="20"/>
      <c r="F71" s="20"/>
      <c r="G71" s="20"/>
      <c r="H71" s="20"/>
      <c r="I71" s="20"/>
      <c r="J71" s="20"/>
      <c r="Z71" s="20"/>
    </row>
    <row r="72">
      <c r="A72" s="20"/>
      <c r="B72" s="20"/>
      <c r="C72" s="20"/>
      <c r="D72" s="20"/>
      <c r="E72" s="20"/>
      <c r="F72" s="20"/>
      <c r="G72" s="20"/>
      <c r="H72" s="20"/>
      <c r="I72" s="20"/>
      <c r="J72" s="20"/>
      <c r="Z72" s="20"/>
    </row>
    <row r="73">
      <c r="A73" s="20"/>
      <c r="B73" s="20"/>
      <c r="C73" s="20"/>
      <c r="D73" s="20"/>
      <c r="E73" s="20"/>
      <c r="F73" s="20"/>
      <c r="G73" s="20"/>
      <c r="H73" s="20"/>
      <c r="I73" s="20"/>
      <c r="J73" s="20"/>
      <c r="Z73" s="20"/>
    </row>
    <row r="74">
      <c r="A74" s="20"/>
      <c r="B74" s="20"/>
      <c r="C74" s="20"/>
      <c r="D74" s="20"/>
      <c r="E74" s="20"/>
      <c r="F74" s="20"/>
      <c r="G74" s="20"/>
      <c r="H74" s="20"/>
      <c r="I74" s="20"/>
      <c r="J74" s="20"/>
      <c r="Z74" s="20"/>
    </row>
    <row r="75">
      <c r="A75" s="20"/>
      <c r="B75" s="20"/>
      <c r="C75" s="20"/>
      <c r="D75" s="20"/>
      <c r="E75" s="20"/>
      <c r="F75" s="20"/>
      <c r="G75" s="20"/>
      <c r="H75" s="20"/>
      <c r="I75" s="20"/>
      <c r="J75" s="20"/>
      <c r="Z75" s="20"/>
    </row>
    <row r="76">
      <c r="A76" s="20"/>
      <c r="B76" s="20"/>
      <c r="C76" s="20"/>
      <c r="D76" s="20"/>
      <c r="E76" s="20"/>
      <c r="F76" s="20"/>
      <c r="G76" s="20"/>
      <c r="H76" s="20"/>
      <c r="I76" s="20"/>
      <c r="J76" s="20"/>
      <c r="Z76" s="20"/>
    </row>
    <row r="77">
      <c r="A77" s="20"/>
      <c r="B77" s="20"/>
      <c r="C77" s="20"/>
      <c r="D77" s="20"/>
      <c r="E77" s="20"/>
      <c r="F77" s="20"/>
      <c r="G77" s="20"/>
      <c r="H77" s="20"/>
      <c r="I77" s="20"/>
      <c r="J77" s="20"/>
      <c r="Z77" s="20"/>
    </row>
    <row r="78">
      <c r="A78" s="20"/>
      <c r="B78" s="20"/>
      <c r="C78" s="20"/>
      <c r="D78" s="20"/>
      <c r="E78" s="20"/>
      <c r="F78" s="20"/>
      <c r="G78" s="20"/>
      <c r="H78" s="20"/>
      <c r="I78" s="20"/>
      <c r="J78" s="20"/>
      <c r="Z78" s="20"/>
    </row>
    <row r="79">
      <c r="A79" s="20"/>
      <c r="B79" s="20"/>
      <c r="C79" s="20"/>
      <c r="D79" s="20"/>
      <c r="E79" s="20"/>
      <c r="F79" s="20"/>
      <c r="G79" s="20"/>
      <c r="H79" s="20"/>
      <c r="I79" s="20"/>
      <c r="J79" s="20"/>
      <c r="Z79" s="20"/>
    </row>
    <row r="80">
      <c r="A80" s="20"/>
      <c r="B80" s="20"/>
      <c r="C80" s="20"/>
      <c r="D80" s="20"/>
      <c r="E80" s="20"/>
      <c r="F80" s="20"/>
      <c r="G80" s="20"/>
      <c r="H80" s="20"/>
      <c r="I80" s="20"/>
      <c r="J80" s="20"/>
      <c r="Z80" s="20"/>
    </row>
    <row r="81">
      <c r="A81" s="20"/>
      <c r="B81" s="20"/>
      <c r="C81" s="20"/>
      <c r="D81" s="20"/>
      <c r="E81" s="20"/>
      <c r="F81" s="20"/>
      <c r="G81" s="20"/>
      <c r="H81" s="20"/>
      <c r="I81" s="20"/>
      <c r="J81" s="20"/>
      <c r="Z81" s="20"/>
    </row>
    <row r="82">
      <c r="A82" s="20"/>
      <c r="B82" s="20"/>
      <c r="C82" s="20"/>
      <c r="D82" s="20"/>
      <c r="E82" s="20"/>
      <c r="F82" s="20"/>
      <c r="G82" s="20"/>
      <c r="H82" s="20"/>
      <c r="I82" s="20"/>
      <c r="J82" s="20"/>
      <c r="Z82" s="20"/>
    </row>
    <row r="83">
      <c r="A83" s="20"/>
      <c r="B83" s="20"/>
      <c r="C83" s="20"/>
      <c r="D83" s="20"/>
      <c r="E83" s="20"/>
      <c r="F83" s="20"/>
      <c r="G83" s="20"/>
      <c r="H83" s="20"/>
      <c r="I83" s="20"/>
      <c r="J83" s="20"/>
      <c r="Z83" s="20"/>
    </row>
    <row r="84">
      <c r="A84" s="20"/>
      <c r="B84" s="20"/>
      <c r="C84" s="20"/>
      <c r="D84" s="20"/>
      <c r="E84" s="20"/>
      <c r="F84" s="20"/>
      <c r="G84" s="20"/>
      <c r="H84" s="20"/>
      <c r="I84" s="20"/>
      <c r="J84" s="20"/>
      <c r="Z84" s="20"/>
    </row>
    <row r="85">
      <c r="A85" s="20"/>
      <c r="B85" s="20"/>
      <c r="C85" s="20"/>
      <c r="D85" s="20"/>
      <c r="E85" s="20"/>
      <c r="F85" s="20"/>
      <c r="G85" s="20"/>
      <c r="H85" s="20"/>
      <c r="I85" s="20"/>
      <c r="J85" s="20"/>
      <c r="Z85" s="20"/>
    </row>
    <row r="86">
      <c r="A86" s="20"/>
      <c r="B86" s="20"/>
      <c r="C86" s="20"/>
      <c r="D86" s="20"/>
      <c r="E86" s="20"/>
      <c r="F86" s="20"/>
      <c r="G86" s="20"/>
      <c r="H86" s="20"/>
      <c r="I86" s="20"/>
      <c r="J86" s="20"/>
      <c r="Z86" s="20"/>
    </row>
    <row r="87">
      <c r="A87" s="20"/>
      <c r="B87" s="20"/>
      <c r="C87" s="20"/>
      <c r="D87" s="20"/>
      <c r="E87" s="20"/>
      <c r="F87" s="20"/>
      <c r="G87" s="20"/>
      <c r="H87" s="20"/>
      <c r="I87" s="20"/>
      <c r="J87" s="20"/>
      <c r="Z87" s="20"/>
    </row>
    <row r="88">
      <c r="A88" s="20"/>
      <c r="B88" s="20"/>
      <c r="C88" s="20"/>
      <c r="D88" s="20"/>
      <c r="E88" s="20"/>
      <c r="F88" s="20"/>
      <c r="G88" s="20"/>
      <c r="H88" s="20"/>
      <c r="I88" s="20"/>
      <c r="J88" s="20"/>
      <c r="Z88" s="20"/>
    </row>
    <row r="89">
      <c r="A89" s="20"/>
      <c r="B89" s="20"/>
      <c r="C89" s="20"/>
      <c r="D89" s="20"/>
      <c r="E89" s="20"/>
      <c r="F89" s="20"/>
      <c r="G89" s="20"/>
      <c r="H89" s="20"/>
      <c r="I89" s="20"/>
      <c r="J89" s="20"/>
      <c r="Z89" s="20"/>
    </row>
    <row r="90">
      <c r="A90" s="20"/>
      <c r="B90" s="20"/>
      <c r="C90" s="20"/>
      <c r="D90" s="20"/>
      <c r="E90" s="20"/>
      <c r="F90" s="20"/>
      <c r="G90" s="20"/>
      <c r="H90" s="20"/>
      <c r="I90" s="20"/>
      <c r="J90" s="20"/>
      <c r="Z90" s="20"/>
    </row>
    <row r="91">
      <c r="A91" s="20"/>
      <c r="B91" s="20"/>
      <c r="C91" s="20"/>
      <c r="D91" s="20"/>
      <c r="E91" s="20"/>
      <c r="F91" s="20"/>
      <c r="G91" s="20"/>
      <c r="H91" s="20"/>
      <c r="I91" s="20"/>
      <c r="J91" s="20"/>
      <c r="Z91" s="20"/>
    </row>
    <row r="92">
      <c r="A92" s="20"/>
      <c r="B92" s="20"/>
      <c r="C92" s="20"/>
      <c r="D92" s="20"/>
      <c r="E92" s="20"/>
      <c r="F92" s="20"/>
      <c r="G92" s="20"/>
      <c r="H92" s="20"/>
      <c r="I92" s="20"/>
      <c r="J92" s="20"/>
      <c r="Z92" s="20"/>
    </row>
    <row r="93">
      <c r="A93" s="20"/>
      <c r="B93" s="20"/>
      <c r="C93" s="20"/>
      <c r="D93" s="20"/>
      <c r="E93" s="20"/>
      <c r="F93" s="20"/>
      <c r="G93" s="20"/>
      <c r="H93" s="20"/>
      <c r="I93" s="20"/>
      <c r="J93" s="20"/>
      <c r="Z93" s="20"/>
    </row>
    <row r="94">
      <c r="A94" s="20"/>
      <c r="B94" s="20"/>
      <c r="C94" s="20"/>
      <c r="D94" s="20"/>
      <c r="E94" s="20"/>
      <c r="F94" s="20"/>
      <c r="G94" s="20"/>
      <c r="H94" s="20"/>
      <c r="I94" s="20"/>
      <c r="J94" s="20"/>
      <c r="Z94" s="20"/>
    </row>
    <row r="95">
      <c r="A95" s="20"/>
      <c r="B95" s="20"/>
      <c r="C95" s="20"/>
      <c r="D95" s="20"/>
      <c r="E95" s="20"/>
      <c r="F95" s="20"/>
      <c r="G95" s="20"/>
      <c r="H95" s="20"/>
      <c r="I95" s="20"/>
      <c r="J95" s="20"/>
      <c r="Z95" s="20"/>
    </row>
    <row r="96">
      <c r="A96" s="20"/>
      <c r="B96" s="20"/>
      <c r="C96" s="20"/>
      <c r="D96" s="20"/>
      <c r="E96" s="20"/>
      <c r="F96" s="20"/>
      <c r="G96" s="20"/>
      <c r="H96" s="20"/>
      <c r="I96" s="20"/>
      <c r="J96" s="20"/>
      <c r="Z96" s="20"/>
    </row>
    <row r="97">
      <c r="A97" s="20"/>
      <c r="B97" s="20"/>
      <c r="C97" s="20"/>
      <c r="D97" s="20"/>
      <c r="E97" s="20"/>
      <c r="F97" s="20"/>
      <c r="G97" s="20"/>
      <c r="H97" s="20"/>
      <c r="I97" s="20"/>
      <c r="J97" s="20"/>
      <c r="Z97" s="20"/>
    </row>
    <row r="98">
      <c r="A98" s="20"/>
      <c r="B98" s="20"/>
      <c r="C98" s="20"/>
      <c r="D98" s="20"/>
      <c r="E98" s="20"/>
      <c r="F98" s="20"/>
      <c r="G98" s="20"/>
      <c r="H98" s="20"/>
      <c r="I98" s="20"/>
      <c r="J98" s="20"/>
      <c r="Z98" s="20"/>
    </row>
    <row r="99">
      <c r="A99" s="20"/>
      <c r="B99" s="20"/>
      <c r="C99" s="20"/>
      <c r="D99" s="20"/>
      <c r="E99" s="20"/>
      <c r="F99" s="20"/>
      <c r="G99" s="20"/>
      <c r="H99" s="20"/>
      <c r="I99" s="20"/>
      <c r="J99" s="20"/>
      <c r="Z99" s="20"/>
    </row>
    <row r="100">
      <c r="A100" s="20"/>
      <c r="B100" s="20"/>
      <c r="C100" s="20"/>
      <c r="D100" s="20"/>
      <c r="E100" s="20"/>
      <c r="F100" s="20"/>
      <c r="G100" s="20"/>
      <c r="H100" s="20"/>
      <c r="I100" s="20"/>
      <c r="J100" s="20"/>
      <c r="Z100" s="20"/>
    </row>
    <row r="101">
      <c r="A101" s="20"/>
      <c r="B101" s="20"/>
      <c r="C101" s="20"/>
      <c r="D101" s="20"/>
      <c r="E101" s="20"/>
      <c r="F101" s="20"/>
      <c r="G101" s="20"/>
      <c r="H101" s="20"/>
      <c r="I101" s="20"/>
      <c r="J101" s="20"/>
      <c r="Z101" s="20"/>
    </row>
    <row r="102">
      <c r="A102" s="20"/>
      <c r="B102" s="20"/>
      <c r="C102" s="20"/>
      <c r="D102" s="20"/>
      <c r="E102" s="20"/>
      <c r="F102" s="20"/>
      <c r="G102" s="20"/>
      <c r="H102" s="20"/>
      <c r="I102" s="20"/>
      <c r="J102" s="20"/>
      <c r="Z102" s="20"/>
    </row>
    <row r="103">
      <c r="A103" s="20"/>
      <c r="B103" s="20"/>
      <c r="C103" s="20"/>
      <c r="D103" s="20"/>
      <c r="E103" s="20"/>
      <c r="F103" s="20"/>
      <c r="G103" s="20"/>
      <c r="H103" s="20"/>
      <c r="I103" s="20"/>
      <c r="J103" s="20"/>
      <c r="Z103" s="20"/>
    </row>
    <row r="104">
      <c r="A104" s="20"/>
      <c r="B104" s="20"/>
      <c r="C104" s="20"/>
      <c r="D104" s="20"/>
      <c r="E104" s="20"/>
      <c r="F104" s="20"/>
      <c r="G104" s="20"/>
      <c r="H104" s="20"/>
      <c r="I104" s="20"/>
      <c r="J104" s="20"/>
      <c r="Z104" s="20"/>
    </row>
    <row r="105">
      <c r="A105" s="20"/>
      <c r="B105" s="20"/>
      <c r="C105" s="20"/>
      <c r="D105" s="20"/>
      <c r="E105" s="20"/>
      <c r="F105" s="20"/>
      <c r="G105" s="20"/>
      <c r="H105" s="20"/>
      <c r="I105" s="20"/>
      <c r="J105" s="20"/>
      <c r="Z105" s="20"/>
    </row>
    <row r="106">
      <c r="A106" s="20"/>
      <c r="B106" s="20"/>
      <c r="C106" s="20"/>
      <c r="D106" s="20"/>
      <c r="E106" s="20"/>
      <c r="F106" s="20"/>
      <c r="G106" s="20"/>
      <c r="H106" s="20"/>
      <c r="I106" s="20"/>
      <c r="J106" s="20"/>
      <c r="Z106" s="20"/>
    </row>
    <row r="107">
      <c r="A107" s="20"/>
      <c r="B107" s="20"/>
      <c r="C107" s="20"/>
      <c r="D107" s="20"/>
      <c r="E107" s="20"/>
      <c r="F107" s="20"/>
      <c r="G107" s="20"/>
      <c r="H107" s="20"/>
      <c r="I107" s="20"/>
      <c r="J107" s="20"/>
      <c r="Z107" s="20"/>
    </row>
    <row r="108">
      <c r="A108" s="20"/>
      <c r="B108" s="20"/>
      <c r="C108" s="20"/>
      <c r="D108" s="20"/>
      <c r="E108" s="20"/>
      <c r="F108" s="20"/>
      <c r="G108" s="20"/>
      <c r="H108" s="20"/>
      <c r="I108" s="20"/>
      <c r="J108" s="20"/>
      <c r="Z108" s="20"/>
    </row>
    <row r="109">
      <c r="A109" s="20"/>
      <c r="B109" s="20"/>
      <c r="C109" s="20"/>
      <c r="D109" s="20"/>
      <c r="E109" s="20"/>
      <c r="F109" s="20"/>
      <c r="G109" s="20"/>
      <c r="H109" s="20"/>
      <c r="I109" s="20"/>
      <c r="J109" s="20"/>
      <c r="Z109" s="20"/>
    </row>
    <row r="110">
      <c r="A110" s="20"/>
      <c r="B110" s="20"/>
      <c r="C110" s="20"/>
      <c r="D110" s="20"/>
      <c r="E110" s="20"/>
      <c r="F110" s="20"/>
      <c r="G110" s="20"/>
      <c r="H110" s="20"/>
      <c r="I110" s="20"/>
      <c r="J110" s="20"/>
      <c r="Z110" s="20"/>
    </row>
    <row r="111">
      <c r="A111" s="20"/>
      <c r="B111" s="20"/>
      <c r="C111" s="20"/>
      <c r="D111" s="20"/>
      <c r="E111" s="20"/>
      <c r="F111" s="20"/>
      <c r="G111" s="20"/>
      <c r="H111" s="20"/>
      <c r="I111" s="20"/>
      <c r="J111" s="20"/>
      <c r="Z111" s="20"/>
    </row>
    <row r="112">
      <c r="A112" s="20"/>
      <c r="B112" s="20"/>
      <c r="C112" s="20"/>
      <c r="D112" s="20"/>
      <c r="E112" s="20"/>
      <c r="F112" s="20"/>
      <c r="G112" s="20"/>
      <c r="H112" s="20"/>
      <c r="I112" s="20"/>
      <c r="J112" s="20"/>
      <c r="Z112" s="20"/>
    </row>
    <row r="113">
      <c r="A113" s="20"/>
      <c r="B113" s="20"/>
      <c r="C113" s="20"/>
      <c r="D113" s="20"/>
      <c r="E113" s="20"/>
      <c r="F113" s="20"/>
      <c r="G113" s="20"/>
      <c r="H113" s="20"/>
      <c r="I113" s="20"/>
      <c r="J113" s="20"/>
      <c r="Z113" s="20"/>
    </row>
    <row r="114">
      <c r="A114" s="20"/>
      <c r="B114" s="20"/>
      <c r="C114" s="20"/>
      <c r="D114" s="20"/>
      <c r="E114" s="20"/>
      <c r="F114" s="20"/>
      <c r="G114" s="20"/>
      <c r="H114" s="20"/>
      <c r="I114" s="20"/>
      <c r="J114" s="20"/>
      <c r="Z114" s="20"/>
    </row>
    <row r="115">
      <c r="A115" s="20"/>
      <c r="B115" s="20"/>
      <c r="C115" s="20"/>
      <c r="D115" s="20"/>
      <c r="E115" s="20"/>
      <c r="F115" s="20"/>
      <c r="G115" s="20"/>
      <c r="H115" s="20"/>
      <c r="I115" s="20"/>
      <c r="J115" s="20"/>
      <c r="Z115" s="20"/>
    </row>
    <row r="116">
      <c r="A116" s="20"/>
      <c r="B116" s="20"/>
      <c r="C116" s="20"/>
      <c r="D116" s="20"/>
      <c r="E116" s="20"/>
      <c r="F116" s="20"/>
      <c r="G116" s="20"/>
      <c r="H116" s="20"/>
      <c r="I116" s="20"/>
      <c r="J116" s="20"/>
      <c r="Z116" s="20"/>
    </row>
    <row r="117">
      <c r="A117" s="20"/>
      <c r="B117" s="20"/>
      <c r="C117" s="20"/>
      <c r="D117" s="20"/>
      <c r="E117" s="20"/>
      <c r="F117" s="20"/>
      <c r="G117" s="20"/>
      <c r="H117" s="20"/>
      <c r="I117" s="20"/>
      <c r="J117" s="20"/>
      <c r="Z117" s="20"/>
    </row>
    <row r="118">
      <c r="A118" s="20"/>
      <c r="B118" s="20"/>
      <c r="C118" s="20"/>
      <c r="D118" s="20"/>
      <c r="E118" s="20"/>
      <c r="F118" s="20"/>
      <c r="G118" s="20"/>
      <c r="H118" s="20"/>
      <c r="I118" s="20"/>
      <c r="J118" s="20"/>
      <c r="Z118" s="20"/>
    </row>
    <row r="119">
      <c r="A119" s="20"/>
      <c r="B119" s="20"/>
      <c r="C119" s="20"/>
      <c r="D119" s="20"/>
      <c r="E119" s="20"/>
      <c r="F119" s="20"/>
      <c r="G119" s="20"/>
      <c r="H119" s="20"/>
      <c r="I119" s="20"/>
      <c r="J119" s="20"/>
      <c r="Z119" s="20"/>
    </row>
    <row r="120">
      <c r="A120" s="20"/>
      <c r="B120" s="20"/>
      <c r="C120" s="20"/>
      <c r="D120" s="20"/>
      <c r="E120" s="20"/>
      <c r="F120" s="20"/>
      <c r="G120" s="20"/>
      <c r="H120" s="20"/>
      <c r="I120" s="20"/>
      <c r="J120" s="20"/>
      <c r="Z120" s="20"/>
    </row>
    <row r="121">
      <c r="A121" s="20"/>
      <c r="B121" s="20"/>
      <c r="C121" s="20"/>
      <c r="D121" s="20"/>
      <c r="E121" s="20"/>
      <c r="F121" s="20"/>
      <c r="G121" s="20"/>
      <c r="H121" s="20"/>
      <c r="I121" s="20"/>
      <c r="J121" s="20"/>
      <c r="Z121" s="20"/>
    </row>
    <row r="122">
      <c r="A122" s="20"/>
      <c r="B122" s="20"/>
      <c r="C122" s="20"/>
      <c r="D122" s="20"/>
      <c r="E122" s="20"/>
      <c r="F122" s="20"/>
      <c r="G122" s="20"/>
      <c r="H122" s="20"/>
      <c r="I122" s="20"/>
      <c r="J122" s="20"/>
      <c r="Z122" s="20"/>
    </row>
    <row r="123">
      <c r="A123" s="20"/>
      <c r="B123" s="20"/>
      <c r="C123" s="20"/>
      <c r="D123" s="20"/>
      <c r="E123" s="20"/>
      <c r="F123" s="20"/>
      <c r="G123" s="20"/>
      <c r="H123" s="20"/>
      <c r="I123" s="20"/>
      <c r="J123" s="20"/>
      <c r="Z123" s="20"/>
    </row>
    <row r="124">
      <c r="A124" s="20"/>
      <c r="B124" s="20"/>
      <c r="C124" s="20"/>
      <c r="D124" s="20"/>
      <c r="E124" s="20"/>
      <c r="F124" s="20"/>
      <c r="G124" s="20"/>
      <c r="H124" s="20"/>
      <c r="I124" s="20"/>
      <c r="J124" s="20"/>
      <c r="Z124" s="20"/>
    </row>
    <row r="125">
      <c r="A125" s="24"/>
      <c r="B125" s="20"/>
      <c r="C125" s="24"/>
      <c r="D125" s="26"/>
      <c r="E125" s="24"/>
      <c r="F125" s="24"/>
      <c r="G125" s="24"/>
      <c r="H125" s="24"/>
      <c r="I125" s="24"/>
      <c r="J125" s="20"/>
      <c r="Z125" s="24"/>
    </row>
    <row r="126">
      <c r="A126" s="20"/>
      <c r="B126" s="20"/>
      <c r="C126" s="20"/>
      <c r="D126" s="20"/>
      <c r="E126" s="20"/>
      <c r="F126" s="20"/>
      <c r="G126" s="20"/>
      <c r="H126" s="20"/>
      <c r="I126" s="20"/>
      <c r="J126" s="20"/>
      <c r="Z126" s="20"/>
    </row>
    <row r="127">
      <c r="A127" s="20"/>
      <c r="B127" s="20"/>
      <c r="C127" s="20"/>
      <c r="D127" s="20"/>
      <c r="E127" s="20"/>
      <c r="F127" s="20"/>
      <c r="G127" s="20"/>
      <c r="H127" s="20"/>
      <c r="I127" s="20"/>
      <c r="J127" s="20"/>
      <c r="Z127" s="20"/>
    </row>
    <row r="128">
      <c r="A128" s="20"/>
      <c r="B128" s="20"/>
      <c r="C128" s="20"/>
      <c r="D128" s="20"/>
      <c r="E128" s="20"/>
      <c r="F128" s="20"/>
      <c r="G128" s="20"/>
      <c r="H128" s="20"/>
      <c r="I128" s="20"/>
      <c r="J128" s="20"/>
      <c r="Z128" s="20"/>
    </row>
    <row r="129">
      <c r="A129" s="20"/>
      <c r="B129" s="20"/>
      <c r="C129" s="20"/>
      <c r="D129" s="20"/>
      <c r="E129" s="20"/>
      <c r="F129" s="20"/>
      <c r="G129" s="20"/>
      <c r="H129" s="20"/>
      <c r="I129" s="20"/>
      <c r="J129" s="20"/>
      <c r="Z129" s="20"/>
    </row>
    <row r="130">
      <c r="A130" s="20"/>
      <c r="B130" s="20"/>
      <c r="C130" s="20"/>
      <c r="D130" s="20"/>
      <c r="E130" s="20"/>
      <c r="F130" s="20"/>
      <c r="G130" s="20"/>
      <c r="H130" s="20"/>
      <c r="I130" s="20"/>
      <c r="J130" s="20"/>
      <c r="Z130" s="20"/>
    </row>
    <row r="131">
      <c r="A131" s="20"/>
      <c r="B131" s="20"/>
      <c r="C131" s="20"/>
      <c r="D131" s="20"/>
      <c r="E131" s="20"/>
      <c r="F131" s="20"/>
      <c r="G131" s="20"/>
      <c r="H131" s="20"/>
      <c r="I131" s="20"/>
      <c r="J131" s="20"/>
      <c r="Z131" s="20"/>
    </row>
    <row r="132">
      <c r="A132" s="20"/>
      <c r="B132" s="20"/>
      <c r="C132" s="20"/>
      <c r="D132" s="20"/>
      <c r="E132" s="20"/>
      <c r="F132" s="20"/>
      <c r="G132" s="20"/>
      <c r="H132" s="20"/>
      <c r="I132" s="20"/>
      <c r="J132" s="20"/>
      <c r="Z132" s="20"/>
    </row>
    <row r="133">
      <c r="A133" s="20"/>
      <c r="B133" s="20"/>
      <c r="C133" s="20"/>
      <c r="D133" s="20"/>
      <c r="E133" s="20"/>
      <c r="F133" s="20"/>
      <c r="G133" s="20"/>
      <c r="H133" s="20"/>
      <c r="I133" s="20"/>
      <c r="J133" s="20"/>
      <c r="Z133" s="20"/>
    </row>
    <row r="134">
      <c r="A134" s="20"/>
      <c r="B134" s="20"/>
      <c r="C134" s="20"/>
      <c r="D134" s="20"/>
      <c r="E134" s="20"/>
      <c r="F134" s="20"/>
      <c r="G134" s="20"/>
      <c r="H134" s="20"/>
      <c r="I134" s="20"/>
      <c r="J134" s="20"/>
      <c r="Z134" s="20"/>
    </row>
    <row r="135">
      <c r="A135" s="20"/>
      <c r="B135" s="20"/>
      <c r="C135" s="20"/>
      <c r="D135" s="20"/>
      <c r="E135" s="20"/>
      <c r="F135" s="20"/>
      <c r="G135" s="20"/>
      <c r="H135" s="20"/>
      <c r="I135" s="20"/>
      <c r="J135" s="20"/>
      <c r="Z135" s="20"/>
    </row>
    <row r="136">
      <c r="A136" s="20"/>
      <c r="B136" s="20"/>
      <c r="C136" s="20"/>
      <c r="D136" s="20"/>
      <c r="E136" s="20"/>
      <c r="F136" s="20"/>
      <c r="G136" s="20"/>
      <c r="H136" s="20"/>
      <c r="I136" s="20"/>
      <c r="J136" s="20"/>
      <c r="Z136" s="20"/>
    </row>
    <row r="137">
      <c r="A137" s="20"/>
      <c r="B137" s="20"/>
      <c r="C137" s="20"/>
      <c r="D137" s="20"/>
      <c r="E137" s="20"/>
      <c r="F137" s="20"/>
      <c r="G137" s="20"/>
      <c r="H137" s="20"/>
      <c r="I137" s="20"/>
      <c r="J137" s="20"/>
      <c r="Z137" s="20"/>
    </row>
    <row r="138">
      <c r="A138" s="20"/>
      <c r="B138" s="20"/>
      <c r="C138" s="20"/>
      <c r="D138" s="20"/>
      <c r="E138" s="20"/>
      <c r="F138" s="20"/>
      <c r="G138" s="20"/>
      <c r="H138" s="20"/>
      <c r="I138" s="20"/>
      <c r="J138" s="20"/>
      <c r="Z138" s="20"/>
    </row>
    <row r="139">
      <c r="A139" s="20"/>
      <c r="B139" s="20"/>
      <c r="C139" s="20"/>
      <c r="D139" s="20"/>
      <c r="E139" s="20"/>
      <c r="F139" s="20"/>
      <c r="G139" s="20"/>
      <c r="H139" s="20"/>
      <c r="I139" s="20"/>
      <c r="J139" s="20"/>
      <c r="Z139" s="20"/>
    </row>
    <row r="140">
      <c r="A140" s="24"/>
      <c r="B140" s="20"/>
      <c r="C140" s="24"/>
      <c r="D140" s="20"/>
      <c r="E140" s="20"/>
      <c r="F140" s="20"/>
      <c r="G140" s="20"/>
      <c r="H140" s="20"/>
      <c r="I140" s="20"/>
      <c r="J140" s="20"/>
      <c r="Z140" s="20"/>
    </row>
    <row r="141">
      <c r="A141" s="20"/>
      <c r="B141" s="20"/>
      <c r="C141" s="20"/>
      <c r="D141" s="20"/>
      <c r="E141" s="20"/>
      <c r="F141" s="20"/>
      <c r="G141" s="20"/>
      <c r="H141" s="20"/>
      <c r="I141" s="20"/>
      <c r="J141" s="20"/>
      <c r="Z141" s="20"/>
    </row>
    <row r="142">
      <c r="A142" s="20"/>
      <c r="B142" s="20"/>
      <c r="C142" s="20"/>
      <c r="D142" s="20"/>
      <c r="E142" s="20"/>
      <c r="F142" s="20"/>
      <c r="G142" s="20"/>
      <c r="H142" s="20"/>
      <c r="I142" s="20"/>
      <c r="J142" s="20"/>
      <c r="Z142" s="20"/>
    </row>
    <row r="143">
      <c r="A143" s="20"/>
      <c r="B143" s="20"/>
      <c r="C143" s="20"/>
      <c r="D143" s="20"/>
      <c r="E143" s="20"/>
      <c r="F143" s="20"/>
      <c r="G143" s="20"/>
      <c r="H143" s="20"/>
      <c r="I143" s="20"/>
      <c r="J143" s="20"/>
      <c r="Z143" s="20"/>
    </row>
    <row r="144">
      <c r="A144" s="20"/>
      <c r="B144" s="20"/>
      <c r="C144" s="20"/>
      <c r="D144" s="20"/>
      <c r="E144" s="20"/>
      <c r="F144" s="20"/>
      <c r="G144" s="20"/>
      <c r="H144" s="20"/>
      <c r="I144" s="20"/>
      <c r="J144" s="20"/>
      <c r="Z144" s="20"/>
    </row>
    <row r="145">
      <c r="A145" s="20"/>
      <c r="B145" s="20"/>
      <c r="C145" s="20"/>
      <c r="D145" s="20"/>
      <c r="E145" s="20"/>
      <c r="F145" s="20"/>
      <c r="G145" s="20"/>
      <c r="H145" s="20"/>
      <c r="I145" s="20"/>
      <c r="J145" s="20"/>
      <c r="Z145" s="20"/>
    </row>
    <row r="146">
      <c r="A146" s="20"/>
      <c r="B146" s="20"/>
      <c r="C146" s="20"/>
      <c r="D146" s="20"/>
      <c r="E146" s="20"/>
      <c r="F146" s="20"/>
      <c r="G146" s="20"/>
      <c r="H146" s="20"/>
      <c r="I146" s="20"/>
      <c r="J146" s="20"/>
      <c r="Z146" s="20"/>
    </row>
    <row r="147">
      <c r="A147" s="20"/>
      <c r="B147" s="20"/>
      <c r="C147" s="20"/>
      <c r="D147" s="20"/>
      <c r="E147" s="20"/>
      <c r="F147" s="20"/>
      <c r="G147" s="20"/>
      <c r="H147" s="20"/>
      <c r="I147" s="20"/>
      <c r="J147" s="20"/>
      <c r="Z147" s="20"/>
    </row>
    <row r="148">
      <c r="A148" s="20"/>
      <c r="B148" s="20"/>
      <c r="C148" s="20"/>
      <c r="D148" s="20"/>
      <c r="E148" s="20"/>
      <c r="F148" s="20"/>
      <c r="G148" s="20"/>
      <c r="H148" s="20"/>
      <c r="I148" s="20"/>
      <c r="J148" s="20"/>
      <c r="Z148" s="20"/>
    </row>
    <row r="149">
      <c r="A149" s="20"/>
      <c r="B149" s="20"/>
      <c r="C149" s="20"/>
      <c r="D149" s="20"/>
      <c r="E149" s="20"/>
      <c r="F149" s="20"/>
      <c r="G149" s="20"/>
      <c r="H149" s="20"/>
      <c r="I149" s="20"/>
      <c r="J149" s="20"/>
      <c r="Z149" s="20"/>
    </row>
    <row r="150">
      <c r="A150" s="20"/>
      <c r="B150" s="20"/>
      <c r="C150" s="20"/>
      <c r="D150" s="20"/>
      <c r="E150" s="20"/>
      <c r="F150" s="20"/>
      <c r="G150" s="20"/>
      <c r="H150" s="20"/>
      <c r="I150" s="20"/>
      <c r="J150" s="20"/>
      <c r="Z150" s="20"/>
    </row>
    <row r="151">
      <c r="A151" s="20"/>
      <c r="B151" s="20"/>
      <c r="C151" s="20"/>
      <c r="D151" s="20"/>
      <c r="E151" s="20"/>
      <c r="F151" s="20"/>
      <c r="G151" s="20"/>
      <c r="H151" s="20"/>
      <c r="I151" s="20"/>
      <c r="J151" s="20"/>
      <c r="Z151" s="20"/>
    </row>
    <row r="152">
      <c r="A152" s="20"/>
      <c r="B152" s="20"/>
      <c r="C152" s="20"/>
      <c r="D152" s="20"/>
      <c r="E152" s="20"/>
      <c r="F152" s="20"/>
      <c r="G152" s="20"/>
      <c r="H152" s="20"/>
      <c r="I152" s="20"/>
      <c r="J152" s="20"/>
      <c r="Z152" s="20"/>
    </row>
    <row r="153">
      <c r="A153" s="20"/>
      <c r="B153" s="20"/>
      <c r="C153" s="20"/>
      <c r="D153" s="20"/>
      <c r="E153" s="20"/>
      <c r="F153" s="20"/>
      <c r="G153" s="20"/>
      <c r="H153" s="20"/>
      <c r="I153" s="20"/>
      <c r="J153" s="20"/>
      <c r="Z153" s="20"/>
    </row>
    <row r="154">
      <c r="A154" s="20"/>
      <c r="B154" s="20"/>
      <c r="C154" s="20"/>
      <c r="D154" s="20"/>
      <c r="E154" s="20"/>
      <c r="F154" s="20"/>
      <c r="G154" s="20"/>
      <c r="H154" s="20"/>
      <c r="I154" s="20"/>
      <c r="J154" s="20"/>
      <c r="Z154" s="20"/>
    </row>
    <row r="155">
      <c r="A155" s="20"/>
      <c r="B155" s="20"/>
      <c r="C155" s="20"/>
      <c r="D155" s="20"/>
      <c r="E155" s="20"/>
      <c r="F155" s="20"/>
      <c r="G155" s="20"/>
      <c r="H155" s="20"/>
      <c r="I155" s="20"/>
      <c r="J155" s="20"/>
      <c r="Z155" s="20"/>
    </row>
    <row r="156">
      <c r="A156" s="20"/>
      <c r="B156" s="20"/>
      <c r="C156" s="20"/>
      <c r="D156" s="20"/>
      <c r="E156" s="20"/>
      <c r="F156" s="20"/>
      <c r="G156" s="20"/>
      <c r="H156" s="20"/>
      <c r="I156" s="20"/>
      <c r="J156" s="20"/>
      <c r="Z156" s="20"/>
    </row>
    <row r="157">
      <c r="A157" s="20"/>
      <c r="B157" s="20"/>
      <c r="C157" s="20"/>
      <c r="D157" s="20"/>
      <c r="E157" s="20"/>
      <c r="F157" s="20"/>
      <c r="G157" s="20"/>
      <c r="H157" s="20"/>
      <c r="I157" s="20"/>
      <c r="J157" s="20"/>
      <c r="Z157" s="20"/>
    </row>
    <row r="158">
      <c r="A158" s="20"/>
      <c r="B158" s="20"/>
      <c r="C158" s="20"/>
      <c r="D158" s="20"/>
      <c r="E158" s="20"/>
      <c r="F158" s="20"/>
      <c r="G158" s="20"/>
      <c r="H158" s="20"/>
      <c r="I158" s="20"/>
      <c r="J158" s="20"/>
      <c r="Z158" s="20"/>
    </row>
    <row r="159">
      <c r="A159" s="20"/>
      <c r="B159" s="20"/>
      <c r="C159" s="20"/>
      <c r="D159" s="20"/>
      <c r="E159" s="20"/>
      <c r="F159" s="20"/>
      <c r="G159" s="20"/>
      <c r="H159" s="20"/>
      <c r="I159" s="20"/>
      <c r="J159" s="20"/>
      <c r="Z159" s="20"/>
    </row>
    <row r="160">
      <c r="A160" s="20"/>
      <c r="B160" s="20"/>
      <c r="C160" s="20"/>
      <c r="D160" s="20"/>
      <c r="E160" s="20"/>
      <c r="F160" s="20"/>
      <c r="G160" s="20"/>
      <c r="H160" s="20"/>
      <c r="I160" s="20"/>
      <c r="J160" s="20"/>
      <c r="Z160" s="20"/>
    </row>
    <row r="161">
      <c r="A161" s="20"/>
      <c r="B161" s="20"/>
      <c r="C161" s="20"/>
      <c r="D161" s="20"/>
      <c r="E161" s="20"/>
      <c r="F161" s="20"/>
      <c r="G161" s="20"/>
      <c r="H161" s="20"/>
      <c r="I161" s="20"/>
      <c r="J161" s="20"/>
      <c r="Z161" s="20"/>
    </row>
    <row r="162">
      <c r="A162" s="20"/>
      <c r="B162" s="20"/>
      <c r="C162" s="20"/>
      <c r="D162" s="20"/>
      <c r="E162" s="20"/>
      <c r="F162" s="20"/>
      <c r="G162" s="20"/>
      <c r="H162" s="20"/>
      <c r="I162" s="20"/>
      <c r="J162" s="20"/>
      <c r="Z162" s="20"/>
    </row>
    <row r="163">
      <c r="A163" s="20"/>
      <c r="B163" s="20"/>
      <c r="C163" s="20"/>
      <c r="D163" s="20"/>
      <c r="E163" s="20"/>
      <c r="F163" s="20"/>
      <c r="G163" s="20"/>
      <c r="H163" s="20"/>
      <c r="I163" s="20"/>
      <c r="J163" s="20"/>
      <c r="Z163" s="20"/>
    </row>
    <row r="164">
      <c r="A164" s="20"/>
      <c r="B164" s="20"/>
      <c r="C164" s="20"/>
      <c r="D164" s="20"/>
      <c r="E164" s="20"/>
      <c r="F164" s="20"/>
      <c r="G164" s="20"/>
      <c r="H164" s="20"/>
      <c r="I164" s="20"/>
      <c r="J164" s="20"/>
      <c r="Z164" s="20"/>
    </row>
    <row r="165">
      <c r="A165" s="20"/>
      <c r="B165" s="20"/>
      <c r="C165" s="20"/>
      <c r="D165" s="20"/>
      <c r="E165" s="20"/>
      <c r="F165" s="20"/>
      <c r="G165" s="20"/>
      <c r="H165" s="20"/>
      <c r="I165" s="20"/>
      <c r="J165" s="20"/>
      <c r="Z165" s="20"/>
    </row>
    <row r="166">
      <c r="A166" s="20"/>
      <c r="B166" s="20"/>
      <c r="C166" s="20"/>
      <c r="D166" s="20"/>
      <c r="E166" s="20"/>
      <c r="F166" s="20"/>
      <c r="G166" s="20"/>
      <c r="H166" s="20"/>
      <c r="I166" s="20"/>
      <c r="J166" s="20"/>
      <c r="Z166" s="20"/>
    </row>
    <row r="167">
      <c r="A167" s="20"/>
      <c r="B167" s="20"/>
      <c r="C167" s="20"/>
      <c r="D167" s="20"/>
      <c r="E167" s="20"/>
      <c r="F167" s="20"/>
      <c r="G167" s="20"/>
      <c r="H167" s="20"/>
      <c r="I167" s="20"/>
      <c r="J167" s="20"/>
      <c r="Z167" s="20"/>
    </row>
    <row r="168">
      <c r="A168" s="20"/>
      <c r="B168" s="20"/>
      <c r="C168" s="20"/>
      <c r="D168" s="20"/>
      <c r="E168" s="20"/>
      <c r="F168" s="20"/>
      <c r="G168" s="20"/>
      <c r="H168" s="20"/>
      <c r="I168" s="20"/>
      <c r="J168" s="20"/>
      <c r="Z168" s="20"/>
    </row>
    <row r="169">
      <c r="A169" s="20"/>
      <c r="B169" s="20"/>
      <c r="C169" s="20"/>
      <c r="D169" s="20"/>
      <c r="E169" s="20"/>
      <c r="F169" s="20"/>
      <c r="G169" s="20"/>
      <c r="H169" s="20"/>
      <c r="I169" s="20"/>
      <c r="J169" s="20"/>
      <c r="Z169" s="20"/>
    </row>
    <row r="170">
      <c r="A170" s="20"/>
      <c r="B170" s="20"/>
      <c r="C170" s="20"/>
      <c r="D170" s="20"/>
      <c r="E170" s="20"/>
      <c r="F170" s="20"/>
      <c r="G170" s="20"/>
      <c r="H170" s="20"/>
      <c r="I170" s="20"/>
      <c r="J170" s="20"/>
      <c r="Z170" s="20"/>
    </row>
    <row r="171">
      <c r="A171" s="20"/>
      <c r="B171" s="20"/>
      <c r="C171" s="20"/>
      <c r="D171" s="20"/>
      <c r="E171" s="20"/>
      <c r="F171" s="20"/>
      <c r="G171" s="20"/>
      <c r="H171" s="20"/>
      <c r="I171" s="20"/>
      <c r="J171" s="20"/>
      <c r="Z171" s="20"/>
    </row>
    <row r="172">
      <c r="A172" s="20"/>
      <c r="B172" s="20"/>
      <c r="C172" s="20"/>
      <c r="D172" s="20"/>
      <c r="E172" s="20"/>
      <c r="F172" s="20"/>
      <c r="G172" s="20"/>
      <c r="H172" s="20"/>
      <c r="I172" s="20"/>
      <c r="J172" s="20"/>
      <c r="Z172" s="20"/>
    </row>
    <row r="173">
      <c r="A173" s="20"/>
      <c r="B173" s="20"/>
      <c r="C173" s="20"/>
      <c r="D173" s="20"/>
      <c r="E173" s="20"/>
      <c r="F173" s="20"/>
      <c r="G173" s="20"/>
      <c r="H173" s="20"/>
      <c r="I173" s="20"/>
      <c r="J173" s="20"/>
      <c r="Z173" s="20"/>
    </row>
    <row r="174">
      <c r="A174" s="20"/>
      <c r="B174" s="20"/>
      <c r="C174" s="20"/>
      <c r="D174" s="20"/>
      <c r="E174" s="20"/>
      <c r="F174" s="20"/>
      <c r="G174" s="20"/>
      <c r="H174" s="20"/>
      <c r="I174" s="20"/>
      <c r="J174" s="20"/>
      <c r="Z174" s="20"/>
    </row>
    <row r="175">
      <c r="A175" s="20"/>
      <c r="B175" s="20"/>
      <c r="C175" s="20"/>
      <c r="D175" s="20"/>
      <c r="E175" s="20"/>
      <c r="F175" s="20"/>
      <c r="G175" s="20"/>
      <c r="H175" s="20"/>
      <c r="I175" s="20"/>
      <c r="J175" s="20"/>
      <c r="Z175" s="20"/>
    </row>
    <row r="176">
      <c r="A176" s="20"/>
      <c r="B176" s="20"/>
      <c r="C176" s="20"/>
      <c r="D176" s="20"/>
      <c r="E176" s="20"/>
      <c r="F176" s="20"/>
      <c r="G176" s="20"/>
      <c r="H176" s="20"/>
      <c r="I176" s="20"/>
      <c r="J176" s="20"/>
      <c r="Z176" s="20"/>
    </row>
    <row r="177">
      <c r="A177" s="20"/>
      <c r="B177" s="20"/>
      <c r="C177" s="20"/>
      <c r="D177" s="20"/>
      <c r="E177" s="20"/>
      <c r="F177" s="20"/>
      <c r="G177" s="20"/>
      <c r="H177" s="20"/>
      <c r="I177" s="20"/>
      <c r="J177" s="20"/>
      <c r="Z177" s="20"/>
    </row>
    <row r="178">
      <c r="A178" s="20"/>
      <c r="B178" s="20"/>
      <c r="C178" s="20"/>
      <c r="D178" s="20"/>
      <c r="E178" s="20"/>
      <c r="F178" s="20"/>
      <c r="G178" s="20"/>
      <c r="H178" s="20"/>
      <c r="I178" s="20"/>
      <c r="J178" s="20"/>
      <c r="Z178" s="20"/>
    </row>
    <row r="179">
      <c r="A179" s="20"/>
      <c r="B179" s="20"/>
      <c r="C179" s="20"/>
      <c r="D179" s="20"/>
      <c r="E179" s="20"/>
      <c r="F179" s="20"/>
      <c r="G179" s="20"/>
      <c r="H179" s="20"/>
      <c r="I179" s="20"/>
      <c r="J179" s="20"/>
      <c r="Z179" s="20"/>
    </row>
    <row r="180">
      <c r="A180" s="20"/>
      <c r="B180" s="20"/>
      <c r="C180" s="20"/>
      <c r="D180" s="20"/>
      <c r="E180" s="20"/>
      <c r="F180" s="20"/>
      <c r="G180" s="20"/>
      <c r="H180" s="20"/>
      <c r="I180" s="20"/>
      <c r="J180" s="20"/>
      <c r="Z180" s="20"/>
    </row>
    <row r="181">
      <c r="A181" s="20"/>
      <c r="B181" s="20"/>
      <c r="C181" s="20"/>
      <c r="D181" s="20"/>
      <c r="E181" s="20"/>
      <c r="F181" s="20"/>
      <c r="G181" s="20"/>
      <c r="H181" s="20"/>
      <c r="I181" s="20"/>
      <c r="J181" s="20"/>
      <c r="Z181" s="20"/>
    </row>
    <row r="182">
      <c r="A182" s="20"/>
      <c r="B182" s="20"/>
      <c r="C182" s="20"/>
      <c r="D182" s="20"/>
      <c r="E182" s="20"/>
      <c r="F182" s="20"/>
      <c r="G182" s="20"/>
      <c r="H182" s="20"/>
      <c r="I182" s="20"/>
      <c r="J182" s="20"/>
      <c r="Z182" s="20"/>
    </row>
    <row r="183">
      <c r="A183" s="20"/>
      <c r="B183" s="20"/>
      <c r="C183" s="20"/>
      <c r="D183" s="20"/>
      <c r="E183" s="20"/>
      <c r="F183" s="20"/>
      <c r="G183" s="20"/>
      <c r="H183" s="20"/>
      <c r="I183" s="20"/>
      <c r="J183" s="20"/>
      <c r="Z183" s="20"/>
    </row>
    <row r="184">
      <c r="A184" s="20"/>
      <c r="B184" s="20"/>
      <c r="C184" s="20"/>
      <c r="D184" s="20"/>
      <c r="E184" s="20"/>
      <c r="F184" s="20"/>
      <c r="G184" s="20"/>
      <c r="H184" s="20"/>
      <c r="I184" s="20"/>
      <c r="J184" s="20"/>
      <c r="Z184" s="20"/>
    </row>
    <row r="185">
      <c r="A185" s="20"/>
      <c r="B185" s="20"/>
      <c r="C185" s="20"/>
      <c r="D185" s="20"/>
      <c r="E185" s="20"/>
      <c r="F185" s="20"/>
      <c r="G185" s="20"/>
      <c r="H185" s="20"/>
      <c r="I185" s="20"/>
      <c r="J185" s="20"/>
      <c r="Z185" s="20"/>
    </row>
    <row r="186">
      <c r="A186" s="20"/>
      <c r="B186" s="20"/>
      <c r="C186" s="20"/>
      <c r="D186" s="20"/>
      <c r="E186" s="20"/>
      <c r="F186" s="20"/>
      <c r="G186" s="20"/>
      <c r="H186" s="20"/>
      <c r="I186" s="20"/>
      <c r="J186" s="20"/>
      <c r="Z186" s="20"/>
    </row>
    <row r="187">
      <c r="A187" s="20"/>
      <c r="B187" s="20"/>
      <c r="C187" s="20"/>
      <c r="D187" s="20"/>
      <c r="E187" s="20"/>
      <c r="F187" s="20"/>
      <c r="G187" s="20"/>
      <c r="H187" s="20"/>
      <c r="I187" s="20"/>
      <c r="J187" s="20"/>
      <c r="Z187" s="20"/>
    </row>
    <row r="188">
      <c r="A188" s="20"/>
      <c r="B188" s="20"/>
      <c r="C188" s="20"/>
      <c r="D188" s="20"/>
      <c r="E188" s="20"/>
      <c r="F188" s="20"/>
      <c r="G188" s="20"/>
      <c r="H188" s="20"/>
      <c r="I188" s="20"/>
      <c r="J188" s="20"/>
      <c r="Z188" s="20"/>
    </row>
    <row r="189">
      <c r="A189" s="20"/>
      <c r="B189" s="20"/>
      <c r="C189" s="20"/>
      <c r="D189" s="20"/>
      <c r="E189" s="20"/>
      <c r="F189" s="20"/>
      <c r="G189" s="20"/>
      <c r="H189" s="20"/>
      <c r="I189" s="20"/>
      <c r="J189" s="20"/>
      <c r="Z189" s="20"/>
    </row>
    <row r="190">
      <c r="A190" s="20"/>
      <c r="B190" s="20"/>
      <c r="C190" s="20"/>
      <c r="D190" s="20"/>
      <c r="E190" s="20"/>
      <c r="F190" s="20"/>
      <c r="G190" s="20"/>
      <c r="H190" s="20"/>
      <c r="I190" s="20"/>
      <c r="J190" s="20"/>
      <c r="Z190" s="20"/>
    </row>
    <row r="191">
      <c r="A191" s="20"/>
      <c r="B191" s="20"/>
      <c r="C191" s="20"/>
      <c r="D191" s="20"/>
      <c r="E191" s="20"/>
      <c r="F191" s="20"/>
      <c r="G191" s="20"/>
      <c r="H191" s="20"/>
      <c r="I191" s="20"/>
      <c r="J191" s="20"/>
      <c r="Z191" s="20"/>
    </row>
    <row r="192">
      <c r="A192" s="20"/>
      <c r="B192" s="20"/>
      <c r="C192" s="20"/>
      <c r="D192" s="20"/>
      <c r="E192" s="20"/>
      <c r="F192" s="20"/>
      <c r="G192" s="20"/>
      <c r="H192" s="20"/>
      <c r="I192" s="20"/>
      <c r="J192" s="20"/>
      <c r="Z192" s="20"/>
    </row>
    <row r="193">
      <c r="A193" s="20"/>
      <c r="B193" s="20"/>
      <c r="C193" s="20"/>
      <c r="D193" s="20"/>
      <c r="E193" s="20"/>
      <c r="F193" s="20"/>
      <c r="G193" s="20"/>
      <c r="H193" s="20"/>
      <c r="I193" s="20"/>
      <c r="J193" s="20"/>
      <c r="Z193" s="20"/>
    </row>
    <row r="194">
      <c r="A194" s="20"/>
      <c r="B194" s="20"/>
      <c r="C194" s="20"/>
      <c r="D194" s="20"/>
      <c r="E194" s="20"/>
      <c r="F194" s="20"/>
      <c r="G194" s="20"/>
      <c r="H194" s="20"/>
      <c r="I194" s="20"/>
      <c r="J194" s="20"/>
      <c r="Z194" s="20"/>
    </row>
    <row r="195">
      <c r="A195" s="20"/>
      <c r="B195" s="20"/>
      <c r="C195" s="20"/>
      <c r="D195" s="20"/>
      <c r="E195" s="20"/>
      <c r="F195" s="20"/>
      <c r="G195" s="20"/>
      <c r="H195" s="20"/>
      <c r="I195" s="20"/>
      <c r="J195" s="20"/>
      <c r="Z195" s="20"/>
    </row>
    <row r="196">
      <c r="A196" s="20"/>
      <c r="B196" s="20"/>
      <c r="C196" s="20"/>
      <c r="D196" s="20"/>
      <c r="E196" s="20"/>
      <c r="F196" s="20"/>
      <c r="G196" s="20"/>
      <c r="H196" s="20"/>
      <c r="I196" s="20"/>
      <c r="J196" s="20"/>
      <c r="Z196" s="20"/>
    </row>
    <row r="197">
      <c r="A197" s="20"/>
      <c r="B197" s="20"/>
      <c r="C197" s="20"/>
      <c r="D197" s="20"/>
      <c r="E197" s="20"/>
      <c r="F197" s="20"/>
      <c r="G197" s="20"/>
      <c r="H197" s="20"/>
      <c r="I197" s="20"/>
      <c r="J197" s="20"/>
      <c r="Z197" s="20"/>
    </row>
    <row r="198">
      <c r="A198" s="20"/>
      <c r="B198" s="20"/>
      <c r="C198" s="20"/>
      <c r="D198" s="20"/>
      <c r="E198" s="20"/>
      <c r="F198" s="20"/>
      <c r="G198" s="20"/>
      <c r="H198" s="20"/>
      <c r="I198" s="20"/>
      <c r="J198" s="20"/>
      <c r="Z198" s="20"/>
    </row>
    <row r="199">
      <c r="A199" s="20"/>
      <c r="B199" s="20"/>
      <c r="C199" s="20"/>
      <c r="D199" s="20"/>
      <c r="E199" s="20"/>
      <c r="F199" s="20"/>
      <c r="G199" s="20"/>
      <c r="H199" s="20"/>
      <c r="I199" s="20"/>
      <c r="J199" s="20"/>
      <c r="Z199" s="20"/>
    </row>
    <row r="200">
      <c r="A200" s="20"/>
      <c r="B200" s="20"/>
      <c r="C200" s="20"/>
      <c r="D200" s="20"/>
      <c r="E200" s="20"/>
      <c r="F200" s="20"/>
      <c r="G200" s="20"/>
      <c r="H200" s="20"/>
      <c r="I200" s="20"/>
      <c r="J200" s="20"/>
      <c r="Z200" s="20"/>
    </row>
    <row r="201">
      <c r="A201" s="20"/>
      <c r="B201" s="20"/>
      <c r="C201" s="20"/>
      <c r="D201" s="20"/>
      <c r="E201" s="20"/>
      <c r="F201" s="20"/>
      <c r="G201" s="20"/>
      <c r="H201" s="20"/>
      <c r="I201" s="20"/>
      <c r="J201" s="20"/>
      <c r="Z201" s="20"/>
    </row>
    <row r="202">
      <c r="A202" s="20"/>
      <c r="B202" s="20"/>
      <c r="C202" s="20"/>
      <c r="D202" s="20"/>
      <c r="E202" s="20"/>
      <c r="F202" s="20"/>
      <c r="G202" s="20"/>
      <c r="H202" s="20"/>
      <c r="I202" s="20"/>
      <c r="J202" s="20"/>
      <c r="Z202" s="20"/>
    </row>
    <row r="203">
      <c r="A203" s="20"/>
      <c r="B203" s="20"/>
      <c r="C203" s="20"/>
      <c r="D203" s="20"/>
      <c r="E203" s="20"/>
      <c r="F203" s="20"/>
      <c r="G203" s="20"/>
      <c r="H203" s="20"/>
      <c r="I203" s="20"/>
      <c r="J203" s="20"/>
      <c r="Z203" s="20"/>
    </row>
    <row r="204">
      <c r="A204" s="20"/>
      <c r="B204" s="20"/>
      <c r="C204" s="20"/>
      <c r="D204" s="20"/>
      <c r="E204" s="20"/>
      <c r="F204" s="20"/>
      <c r="G204" s="20"/>
      <c r="H204" s="20"/>
      <c r="I204" s="20"/>
      <c r="J204" s="20"/>
      <c r="Z204" s="20"/>
    </row>
    <row r="205">
      <c r="A205" s="20"/>
      <c r="B205" s="20"/>
      <c r="C205" s="20"/>
      <c r="D205" s="20"/>
      <c r="E205" s="20"/>
      <c r="F205" s="20"/>
      <c r="G205" s="20"/>
      <c r="H205" s="20"/>
      <c r="I205" s="20"/>
      <c r="J205" s="20"/>
      <c r="Z205" s="20"/>
    </row>
    <row r="206">
      <c r="A206" s="20"/>
      <c r="B206" s="20"/>
      <c r="C206" s="20"/>
      <c r="D206" s="20"/>
      <c r="E206" s="20"/>
      <c r="F206" s="20"/>
      <c r="G206" s="20"/>
      <c r="H206" s="20"/>
      <c r="I206" s="20"/>
      <c r="J206" s="20"/>
      <c r="Z206" s="20"/>
    </row>
    <row r="207">
      <c r="A207" s="20"/>
      <c r="B207" s="20"/>
      <c r="C207" s="20"/>
      <c r="D207" s="20"/>
      <c r="E207" s="20"/>
      <c r="F207" s="20"/>
      <c r="G207" s="20"/>
      <c r="H207" s="20"/>
      <c r="I207" s="20"/>
      <c r="J207" s="20"/>
      <c r="Z207" s="20"/>
    </row>
    <row r="208">
      <c r="A208" s="20"/>
      <c r="B208" s="20"/>
      <c r="C208" s="20"/>
      <c r="D208" s="20"/>
      <c r="E208" s="20"/>
      <c r="F208" s="20"/>
      <c r="G208" s="20"/>
      <c r="H208" s="20"/>
      <c r="I208" s="20"/>
      <c r="J208" s="20"/>
      <c r="Z208" s="20"/>
    </row>
    <row r="209">
      <c r="A209" s="20"/>
      <c r="B209" s="20"/>
      <c r="C209" s="20"/>
      <c r="D209" s="20"/>
      <c r="E209" s="20"/>
      <c r="F209" s="20"/>
      <c r="G209" s="20"/>
      <c r="H209" s="20"/>
      <c r="I209" s="20"/>
      <c r="J209" s="20"/>
      <c r="Z209" s="20"/>
    </row>
    <row r="210">
      <c r="A210" s="20"/>
      <c r="B210" s="20"/>
      <c r="C210" s="20"/>
      <c r="D210" s="20"/>
      <c r="E210" s="20"/>
      <c r="F210" s="20"/>
      <c r="G210" s="20"/>
      <c r="H210" s="20"/>
      <c r="I210" s="20"/>
      <c r="J210" s="20"/>
      <c r="Z210" s="20"/>
    </row>
    <row r="211">
      <c r="A211" s="20"/>
      <c r="B211" s="20"/>
      <c r="C211" s="20"/>
      <c r="D211" s="20"/>
      <c r="E211" s="20"/>
      <c r="F211" s="20"/>
      <c r="G211" s="20"/>
      <c r="H211" s="20"/>
      <c r="I211" s="20"/>
      <c r="J211" s="20"/>
      <c r="Z211" s="20"/>
    </row>
    <row r="212">
      <c r="A212" s="20"/>
      <c r="B212" s="20"/>
      <c r="C212" s="20"/>
      <c r="D212" s="20"/>
      <c r="E212" s="20"/>
      <c r="F212" s="20"/>
      <c r="G212" s="20"/>
      <c r="H212" s="20"/>
      <c r="I212" s="20"/>
      <c r="J212" s="20"/>
      <c r="Z212" s="20"/>
    </row>
    <row r="213">
      <c r="A213" s="20"/>
      <c r="B213" s="20"/>
      <c r="C213" s="20"/>
      <c r="D213" s="20"/>
      <c r="E213" s="20"/>
      <c r="F213" s="20"/>
      <c r="G213" s="20"/>
      <c r="H213" s="20"/>
      <c r="I213" s="20"/>
      <c r="J213" s="20"/>
      <c r="Z213" s="20"/>
    </row>
    <row r="214">
      <c r="A214" s="20"/>
      <c r="B214" s="20"/>
      <c r="C214" s="20"/>
      <c r="D214" s="20"/>
      <c r="E214" s="20"/>
      <c r="F214" s="20"/>
      <c r="G214" s="20"/>
      <c r="H214" s="20"/>
      <c r="I214" s="20"/>
      <c r="J214" s="20"/>
      <c r="Z214" s="20"/>
    </row>
    <row r="215">
      <c r="A215" s="20"/>
      <c r="B215" s="20"/>
      <c r="C215" s="20"/>
      <c r="D215" s="20"/>
      <c r="E215" s="20"/>
      <c r="F215" s="20"/>
      <c r="G215" s="20"/>
      <c r="H215" s="20"/>
      <c r="I215" s="20"/>
      <c r="J215" s="20"/>
      <c r="Z215" s="20"/>
    </row>
    <row r="216">
      <c r="A216" s="20"/>
      <c r="B216" s="20"/>
      <c r="C216" s="20"/>
      <c r="D216" s="20"/>
      <c r="E216" s="20"/>
      <c r="F216" s="20"/>
      <c r="G216" s="20"/>
      <c r="H216" s="20"/>
      <c r="I216" s="20"/>
      <c r="J216" s="20"/>
      <c r="Z216" s="20"/>
    </row>
    <row r="217">
      <c r="A217" s="20"/>
      <c r="B217" s="20"/>
      <c r="C217" s="20"/>
      <c r="D217" s="20"/>
      <c r="E217" s="20"/>
      <c r="F217" s="20"/>
      <c r="G217" s="20"/>
      <c r="H217" s="20"/>
      <c r="I217" s="20"/>
      <c r="J217" s="20"/>
      <c r="Z217" s="20"/>
    </row>
    <row r="218">
      <c r="A218" s="20"/>
      <c r="B218" s="20"/>
      <c r="C218" s="20"/>
      <c r="D218" s="20"/>
      <c r="E218" s="20"/>
      <c r="F218" s="20"/>
      <c r="G218" s="20"/>
      <c r="H218" s="20"/>
      <c r="I218" s="20"/>
      <c r="J218" s="20"/>
      <c r="Z218" s="20"/>
    </row>
    <row r="219">
      <c r="A219" s="20"/>
      <c r="B219" s="20"/>
      <c r="C219" s="20"/>
      <c r="D219" s="20"/>
      <c r="E219" s="20"/>
      <c r="F219" s="20"/>
      <c r="G219" s="20"/>
      <c r="H219" s="20"/>
      <c r="I219" s="20"/>
      <c r="J219" s="20"/>
      <c r="Z219" s="20"/>
    </row>
    <row r="220">
      <c r="A220" s="20"/>
      <c r="B220" s="20"/>
      <c r="C220" s="20"/>
      <c r="D220" s="20"/>
      <c r="E220" s="20"/>
      <c r="F220" s="20"/>
      <c r="G220" s="20"/>
      <c r="H220" s="20"/>
      <c r="I220" s="20"/>
      <c r="J220" s="20"/>
      <c r="Z220" s="20"/>
    </row>
    <row r="221">
      <c r="A221" s="20"/>
      <c r="B221" s="20"/>
      <c r="C221" s="20"/>
      <c r="D221" s="20"/>
      <c r="E221" s="20"/>
      <c r="F221" s="20"/>
      <c r="G221" s="20"/>
      <c r="H221" s="20"/>
      <c r="I221" s="20"/>
      <c r="J221" s="20"/>
      <c r="Z221" s="20"/>
    </row>
    <row r="222">
      <c r="A222" s="20"/>
      <c r="B222" s="20"/>
      <c r="C222" s="20"/>
      <c r="D222" s="20"/>
      <c r="E222" s="20"/>
      <c r="F222" s="20"/>
      <c r="G222" s="20"/>
      <c r="H222" s="20"/>
      <c r="I222" s="20"/>
      <c r="J222" s="20"/>
      <c r="Z222" s="20"/>
    </row>
    <row r="223">
      <c r="A223" s="20"/>
      <c r="B223" s="20"/>
      <c r="C223" s="20"/>
      <c r="D223" s="20"/>
      <c r="E223" s="20"/>
      <c r="F223" s="20"/>
      <c r="G223" s="20"/>
      <c r="H223" s="20"/>
      <c r="I223" s="20"/>
      <c r="J223" s="20"/>
      <c r="Z223" s="20"/>
    </row>
    <row r="224">
      <c r="A224" s="20"/>
      <c r="B224" s="20"/>
      <c r="C224" s="20"/>
      <c r="D224" s="20"/>
      <c r="E224" s="20"/>
      <c r="F224" s="20"/>
      <c r="G224" s="20"/>
      <c r="H224" s="20"/>
      <c r="I224" s="20"/>
      <c r="J224" s="20"/>
      <c r="Z224" s="20"/>
    </row>
    <row r="225">
      <c r="A225" s="20"/>
      <c r="B225" s="20"/>
      <c r="C225" s="20"/>
      <c r="D225" s="20"/>
      <c r="E225" s="20"/>
      <c r="F225" s="20"/>
      <c r="G225" s="20"/>
      <c r="H225" s="20"/>
      <c r="I225" s="20"/>
      <c r="J225" s="20"/>
      <c r="Z225" s="20"/>
    </row>
    <row r="226">
      <c r="A226" s="20"/>
      <c r="B226" s="20"/>
      <c r="C226" s="20"/>
      <c r="D226" s="20"/>
      <c r="E226" s="20"/>
      <c r="F226" s="20"/>
      <c r="G226" s="20"/>
      <c r="H226" s="20"/>
      <c r="I226" s="20"/>
      <c r="J226" s="20"/>
      <c r="Z226" s="20"/>
    </row>
    <row r="227">
      <c r="A227" s="20"/>
      <c r="B227" s="20"/>
      <c r="C227" s="20"/>
      <c r="D227" s="20"/>
      <c r="E227" s="20"/>
      <c r="F227" s="20"/>
      <c r="G227" s="20"/>
      <c r="H227" s="20"/>
      <c r="I227" s="20"/>
      <c r="J227" s="20"/>
      <c r="Z227" s="20"/>
    </row>
    <row r="228">
      <c r="A228" s="20"/>
      <c r="B228" s="20"/>
      <c r="C228" s="20"/>
      <c r="D228" s="20"/>
      <c r="E228" s="20"/>
      <c r="F228" s="20"/>
      <c r="G228" s="20"/>
      <c r="H228" s="20"/>
      <c r="I228" s="20"/>
      <c r="J228" s="20"/>
      <c r="Z228" s="20"/>
    </row>
    <row r="229">
      <c r="A229" s="20"/>
      <c r="B229" s="20"/>
      <c r="C229" s="20"/>
      <c r="D229" s="20"/>
      <c r="E229" s="20"/>
      <c r="F229" s="20"/>
      <c r="G229" s="20"/>
      <c r="H229" s="20"/>
      <c r="I229" s="20"/>
      <c r="J229" s="20"/>
      <c r="Z229" s="20"/>
    </row>
    <row r="230">
      <c r="A230" s="20"/>
      <c r="B230" s="20"/>
      <c r="C230" s="20"/>
      <c r="D230" s="20"/>
      <c r="E230" s="20"/>
      <c r="F230" s="20"/>
      <c r="G230" s="20"/>
      <c r="H230" s="20"/>
      <c r="I230" s="20"/>
      <c r="J230" s="20"/>
      <c r="Z230" s="20"/>
    </row>
    <row r="231">
      <c r="A231" s="20"/>
      <c r="B231" s="20"/>
      <c r="C231" s="20"/>
      <c r="D231" s="20"/>
      <c r="E231" s="20"/>
      <c r="F231" s="20"/>
      <c r="G231" s="20"/>
      <c r="H231" s="20"/>
      <c r="I231" s="20"/>
      <c r="J231" s="20"/>
      <c r="Z231" s="20"/>
    </row>
    <row r="232">
      <c r="A232" s="20"/>
      <c r="B232" s="20"/>
      <c r="C232" s="20"/>
      <c r="D232" s="20"/>
      <c r="E232" s="20"/>
      <c r="F232" s="20"/>
      <c r="G232" s="20"/>
      <c r="H232" s="20"/>
      <c r="I232" s="20"/>
      <c r="J232" s="20"/>
      <c r="Z232" s="20"/>
    </row>
    <row r="233">
      <c r="A233" s="20"/>
      <c r="B233" s="20"/>
      <c r="C233" s="20"/>
      <c r="D233" s="20"/>
      <c r="E233" s="20"/>
      <c r="F233" s="20"/>
      <c r="G233" s="20"/>
      <c r="H233" s="20"/>
      <c r="I233" s="20"/>
      <c r="J233" s="20"/>
      <c r="Z233" s="20"/>
    </row>
    <row r="234">
      <c r="A234" s="20"/>
      <c r="B234" s="20"/>
      <c r="C234" s="20"/>
      <c r="D234" s="20"/>
      <c r="E234" s="20"/>
      <c r="F234" s="20"/>
      <c r="G234" s="20"/>
      <c r="H234" s="20"/>
      <c r="I234" s="20"/>
      <c r="J234" s="20"/>
      <c r="Z234" s="20"/>
    </row>
    <row r="235">
      <c r="A235" s="20"/>
      <c r="B235" s="20"/>
      <c r="C235" s="20"/>
      <c r="D235" s="20"/>
      <c r="E235" s="20"/>
      <c r="F235" s="20"/>
      <c r="G235" s="20"/>
      <c r="H235" s="20"/>
      <c r="I235" s="20"/>
      <c r="J235" s="20"/>
      <c r="Z235" s="20"/>
    </row>
    <row r="236">
      <c r="A236" s="20"/>
      <c r="B236" s="20"/>
      <c r="C236" s="20"/>
      <c r="D236" s="20"/>
      <c r="E236" s="20"/>
      <c r="F236" s="20"/>
      <c r="G236" s="20"/>
      <c r="H236" s="20"/>
      <c r="I236" s="20"/>
      <c r="J236" s="20"/>
      <c r="Z236" s="20"/>
    </row>
    <row r="237">
      <c r="A237" s="20"/>
      <c r="B237" s="20"/>
      <c r="C237" s="20"/>
      <c r="D237" s="20"/>
      <c r="E237" s="20"/>
      <c r="F237" s="20"/>
      <c r="G237" s="20"/>
      <c r="H237" s="20"/>
      <c r="I237" s="20"/>
      <c r="J237" s="20"/>
      <c r="Z237" s="20"/>
    </row>
    <row r="238">
      <c r="A238" s="20"/>
      <c r="B238" s="20"/>
      <c r="C238" s="20"/>
      <c r="D238" s="20"/>
      <c r="E238" s="20"/>
      <c r="F238" s="20"/>
      <c r="G238" s="20"/>
      <c r="H238" s="20"/>
      <c r="I238" s="20"/>
      <c r="J238" s="20"/>
      <c r="Z238" s="20"/>
    </row>
    <row r="239">
      <c r="A239" s="20"/>
      <c r="B239" s="20"/>
      <c r="C239" s="20"/>
      <c r="D239" s="20"/>
      <c r="E239" s="20"/>
      <c r="F239" s="20"/>
      <c r="G239" s="20"/>
      <c r="H239" s="20"/>
      <c r="I239" s="20"/>
      <c r="J239" s="20"/>
      <c r="Z239" s="20"/>
    </row>
    <row r="240">
      <c r="A240" s="20"/>
      <c r="B240" s="20"/>
      <c r="C240" s="20"/>
      <c r="D240" s="20"/>
      <c r="E240" s="20"/>
      <c r="F240" s="20"/>
      <c r="G240" s="20"/>
      <c r="H240" s="20"/>
      <c r="I240" s="20"/>
      <c r="J240" s="20"/>
      <c r="Z240" s="20"/>
    </row>
    <row r="241">
      <c r="A241" s="20"/>
      <c r="B241" s="20"/>
      <c r="C241" s="20"/>
      <c r="D241" s="20"/>
      <c r="E241" s="20"/>
      <c r="F241" s="20"/>
      <c r="G241" s="20"/>
      <c r="H241" s="20"/>
      <c r="I241" s="20"/>
      <c r="J241" s="20"/>
      <c r="Z241" s="20"/>
    </row>
    <row r="242">
      <c r="A242" s="20"/>
      <c r="B242" s="20"/>
      <c r="C242" s="20"/>
      <c r="D242" s="20"/>
      <c r="E242" s="20"/>
      <c r="F242" s="20"/>
      <c r="G242" s="20"/>
      <c r="H242" s="20"/>
      <c r="I242" s="20"/>
      <c r="J242" s="20"/>
      <c r="Z242" s="20"/>
    </row>
    <row r="243">
      <c r="A243" s="20"/>
      <c r="B243" s="20"/>
      <c r="C243" s="20"/>
      <c r="D243" s="20"/>
      <c r="E243" s="20"/>
      <c r="F243" s="20"/>
      <c r="G243" s="20"/>
      <c r="H243" s="20"/>
      <c r="I243" s="20"/>
      <c r="J243" s="20"/>
      <c r="Z243" s="20"/>
    </row>
    <row r="244">
      <c r="A244" s="20"/>
      <c r="B244" s="20"/>
      <c r="C244" s="20"/>
      <c r="D244" s="20"/>
      <c r="E244" s="20"/>
      <c r="F244" s="20"/>
      <c r="G244" s="20"/>
      <c r="H244" s="20"/>
      <c r="I244" s="20"/>
      <c r="J244" s="20"/>
      <c r="Z244" s="20"/>
    </row>
    <row r="245">
      <c r="A245" s="20"/>
      <c r="B245" s="20"/>
      <c r="C245" s="20"/>
      <c r="D245" s="20"/>
      <c r="E245" s="20"/>
      <c r="F245" s="20"/>
      <c r="G245" s="20"/>
      <c r="H245" s="20"/>
      <c r="I245" s="20"/>
      <c r="J245" s="20"/>
      <c r="Z245" s="20"/>
    </row>
    <row r="246">
      <c r="A246" s="20"/>
      <c r="B246" s="20"/>
      <c r="C246" s="20"/>
      <c r="D246" s="20"/>
      <c r="E246" s="20"/>
      <c r="F246" s="20"/>
      <c r="G246" s="20"/>
      <c r="H246" s="20"/>
      <c r="I246" s="20"/>
      <c r="J246" s="20"/>
      <c r="Z246" s="20"/>
    </row>
    <row r="247">
      <c r="A247" s="20"/>
      <c r="B247" s="20"/>
      <c r="C247" s="20"/>
      <c r="D247" s="20"/>
      <c r="E247" s="20"/>
      <c r="F247" s="20"/>
      <c r="G247" s="20"/>
      <c r="H247" s="20"/>
      <c r="I247" s="20"/>
      <c r="J247" s="20"/>
      <c r="Z247" s="20"/>
    </row>
    <row r="248">
      <c r="A248" s="20"/>
      <c r="B248" s="20"/>
      <c r="C248" s="20"/>
      <c r="D248" s="20"/>
      <c r="E248" s="20"/>
      <c r="F248" s="20"/>
      <c r="G248" s="20"/>
      <c r="H248" s="20"/>
      <c r="I248" s="20"/>
      <c r="J248" s="20"/>
      <c r="Z248" s="20"/>
    </row>
    <row r="249">
      <c r="A249" s="20"/>
      <c r="B249" s="20"/>
      <c r="C249" s="20"/>
      <c r="D249" s="20"/>
      <c r="E249" s="20"/>
      <c r="F249" s="20"/>
      <c r="G249" s="20"/>
      <c r="H249" s="20"/>
      <c r="I249" s="20"/>
      <c r="J249" s="20"/>
      <c r="Z249" s="20"/>
    </row>
    <row r="250">
      <c r="A250" s="20"/>
      <c r="B250" s="20"/>
      <c r="C250" s="20"/>
      <c r="D250" s="20"/>
      <c r="E250" s="20"/>
      <c r="F250" s="20"/>
      <c r="G250" s="20"/>
      <c r="H250" s="20"/>
      <c r="I250" s="20"/>
      <c r="J250" s="20"/>
      <c r="Z250" s="20"/>
    </row>
    <row r="251">
      <c r="A251" s="20"/>
      <c r="B251" s="20"/>
      <c r="C251" s="20"/>
      <c r="D251" s="20"/>
      <c r="E251" s="20"/>
      <c r="F251" s="20"/>
      <c r="G251" s="20"/>
      <c r="H251" s="20"/>
      <c r="I251" s="20"/>
      <c r="J251" s="20"/>
      <c r="Z251" s="20"/>
    </row>
    <row r="252">
      <c r="A252" s="20"/>
      <c r="B252" s="20"/>
      <c r="C252" s="20"/>
      <c r="D252" s="20"/>
      <c r="E252" s="20"/>
      <c r="F252" s="20"/>
      <c r="G252" s="20"/>
      <c r="H252" s="20"/>
      <c r="I252" s="20"/>
      <c r="J252" s="20"/>
      <c r="Z252" s="20"/>
    </row>
    <row r="253">
      <c r="A253" s="20"/>
      <c r="B253" s="20"/>
      <c r="C253" s="20"/>
      <c r="D253" s="20"/>
      <c r="E253" s="20"/>
      <c r="F253" s="20"/>
      <c r="G253" s="20"/>
      <c r="H253" s="20"/>
      <c r="I253" s="20"/>
      <c r="J253" s="20"/>
      <c r="Z253" s="20"/>
    </row>
    <row r="254">
      <c r="A254" s="20"/>
      <c r="B254" s="20"/>
      <c r="C254" s="20"/>
      <c r="D254" s="20"/>
      <c r="E254" s="20"/>
      <c r="F254" s="20"/>
      <c r="G254" s="20"/>
      <c r="H254" s="20"/>
      <c r="I254" s="20"/>
      <c r="J254" s="20"/>
      <c r="Z254" s="20"/>
    </row>
    <row r="255">
      <c r="A255" s="20"/>
      <c r="B255" s="20"/>
      <c r="C255" s="20"/>
      <c r="D255" s="20"/>
      <c r="E255" s="20"/>
      <c r="F255" s="20"/>
      <c r="G255" s="20"/>
      <c r="H255" s="20"/>
      <c r="I255" s="20"/>
      <c r="J255" s="20"/>
      <c r="Z255" s="20"/>
    </row>
    <row r="256">
      <c r="A256" s="20"/>
      <c r="B256" s="20"/>
      <c r="C256" s="20"/>
      <c r="D256" s="20"/>
      <c r="E256" s="20"/>
      <c r="F256" s="20"/>
      <c r="G256" s="20"/>
      <c r="H256" s="20"/>
      <c r="I256" s="20"/>
      <c r="J256" s="20"/>
      <c r="Z256" s="20"/>
    </row>
    <row r="257">
      <c r="A257" s="20"/>
      <c r="B257" s="20"/>
      <c r="C257" s="20"/>
      <c r="D257" s="20"/>
      <c r="E257" s="20"/>
      <c r="F257" s="20"/>
      <c r="G257" s="20"/>
      <c r="H257" s="20"/>
      <c r="I257" s="20"/>
      <c r="J257" s="20"/>
      <c r="Z257" s="20"/>
    </row>
    <row r="258">
      <c r="A258" s="20"/>
      <c r="B258" s="20"/>
      <c r="C258" s="20"/>
      <c r="D258" s="20"/>
      <c r="E258" s="20"/>
      <c r="F258" s="20"/>
      <c r="G258" s="20"/>
      <c r="H258" s="20"/>
      <c r="I258" s="20"/>
      <c r="J258" s="20"/>
      <c r="Z258" s="20"/>
    </row>
    <row r="259">
      <c r="A259" s="20"/>
      <c r="B259" s="20"/>
      <c r="C259" s="20"/>
      <c r="D259" s="20"/>
      <c r="E259" s="20"/>
      <c r="F259" s="20"/>
      <c r="G259" s="20"/>
      <c r="H259" s="20"/>
      <c r="I259" s="20"/>
      <c r="J259" s="20"/>
      <c r="Z259" s="20"/>
    </row>
    <row r="260">
      <c r="A260" s="20"/>
      <c r="B260" s="20"/>
      <c r="C260" s="20"/>
      <c r="D260" s="20"/>
      <c r="E260" s="20"/>
      <c r="F260" s="20"/>
      <c r="G260" s="20"/>
      <c r="H260" s="20"/>
      <c r="I260" s="20"/>
      <c r="J260" s="20"/>
      <c r="Z260" s="20"/>
    </row>
    <row r="261">
      <c r="A261" s="20"/>
      <c r="B261" s="20"/>
      <c r="C261" s="20"/>
      <c r="D261" s="20"/>
      <c r="E261" s="20"/>
      <c r="F261" s="20"/>
      <c r="G261" s="20"/>
      <c r="H261" s="20"/>
      <c r="I261" s="20"/>
      <c r="J261" s="20"/>
      <c r="Z261" s="20"/>
    </row>
    <row r="262">
      <c r="A262" s="20"/>
      <c r="B262" s="20"/>
      <c r="C262" s="20"/>
      <c r="D262" s="20"/>
      <c r="E262" s="20"/>
      <c r="F262" s="20"/>
      <c r="G262" s="20"/>
      <c r="H262" s="20"/>
      <c r="I262" s="20"/>
      <c r="J262" s="20"/>
      <c r="Z262" s="20"/>
    </row>
    <row r="263">
      <c r="A263" s="20"/>
      <c r="B263" s="20"/>
      <c r="C263" s="20"/>
      <c r="D263" s="20"/>
      <c r="E263" s="20"/>
      <c r="F263" s="20"/>
      <c r="G263" s="20"/>
      <c r="H263" s="20"/>
      <c r="I263" s="20"/>
      <c r="J263" s="20"/>
      <c r="Z263" s="20"/>
    </row>
    <row r="264">
      <c r="A264" s="20"/>
      <c r="B264" s="20"/>
      <c r="C264" s="20"/>
      <c r="D264" s="20"/>
      <c r="E264" s="20"/>
      <c r="F264" s="20"/>
      <c r="G264" s="20"/>
      <c r="H264" s="20"/>
      <c r="I264" s="20"/>
      <c r="J264" s="20"/>
      <c r="Z264" s="20"/>
    </row>
    <row r="265">
      <c r="A265" s="20"/>
      <c r="B265" s="20"/>
      <c r="C265" s="20"/>
      <c r="D265" s="20"/>
      <c r="E265" s="20"/>
      <c r="F265" s="20"/>
      <c r="G265" s="20"/>
      <c r="H265" s="20"/>
      <c r="I265" s="20"/>
      <c r="J265" s="20"/>
      <c r="Z265" s="20"/>
    </row>
    <row r="266">
      <c r="A266" s="20"/>
      <c r="B266" s="20"/>
      <c r="C266" s="20"/>
      <c r="D266" s="20"/>
      <c r="E266" s="20"/>
      <c r="F266" s="20"/>
      <c r="G266" s="20"/>
      <c r="H266" s="20"/>
      <c r="I266" s="20"/>
      <c r="J266" s="20"/>
      <c r="Z266" s="20"/>
    </row>
    <row r="267">
      <c r="A267" s="20"/>
      <c r="B267" s="20"/>
      <c r="C267" s="20"/>
      <c r="D267" s="20"/>
      <c r="E267" s="20"/>
      <c r="F267" s="20"/>
      <c r="G267" s="20"/>
      <c r="H267" s="20"/>
      <c r="I267" s="20"/>
      <c r="J267" s="20"/>
      <c r="Z267" s="20"/>
    </row>
    <row r="268">
      <c r="A268" s="20"/>
      <c r="B268" s="20"/>
      <c r="C268" s="20"/>
      <c r="D268" s="20"/>
      <c r="E268" s="20"/>
      <c r="F268" s="20"/>
      <c r="G268" s="20"/>
      <c r="H268" s="20"/>
      <c r="I268" s="20"/>
      <c r="J268" s="20"/>
      <c r="Z268" s="20"/>
    </row>
    <row r="269">
      <c r="A269" s="20"/>
      <c r="B269" s="20"/>
      <c r="C269" s="20"/>
      <c r="D269" s="20"/>
      <c r="E269" s="20"/>
      <c r="F269" s="20"/>
      <c r="G269" s="20"/>
      <c r="H269" s="20"/>
      <c r="I269" s="20"/>
      <c r="J269" s="20"/>
      <c r="Z269" s="20"/>
    </row>
    <row r="270">
      <c r="A270" s="20"/>
      <c r="B270" s="20"/>
      <c r="C270" s="20"/>
      <c r="D270" s="20"/>
      <c r="E270" s="20"/>
      <c r="F270" s="20"/>
      <c r="G270" s="20"/>
      <c r="H270" s="20"/>
      <c r="I270" s="20"/>
      <c r="J270" s="20"/>
      <c r="Z270" s="20"/>
    </row>
    <row r="271">
      <c r="A271" s="20"/>
      <c r="B271" s="20"/>
      <c r="C271" s="20"/>
      <c r="D271" s="20"/>
      <c r="E271" s="20"/>
      <c r="F271" s="20"/>
      <c r="G271" s="20"/>
      <c r="H271" s="20"/>
      <c r="I271" s="20"/>
      <c r="J271" s="20"/>
      <c r="Z271" s="20"/>
    </row>
    <row r="272">
      <c r="A272" s="20"/>
      <c r="B272" s="20"/>
      <c r="C272" s="20"/>
      <c r="D272" s="20"/>
      <c r="E272" s="20"/>
      <c r="F272" s="20"/>
      <c r="G272" s="20"/>
      <c r="H272" s="20"/>
      <c r="I272" s="20"/>
      <c r="J272" s="20"/>
      <c r="Z272" s="20"/>
    </row>
    <row r="273">
      <c r="A273" s="20"/>
      <c r="B273" s="20"/>
      <c r="C273" s="20"/>
      <c r="D273" s="20"/>
      <c r="E273" s="20"/>
      <c r="F273" s="20"/>
      <c r="G273" s="20"/>
      <c r="H273" s="20"/>
      <c r="I273" s="20"/>
      <c r="J273" s="20"/>
      <c r="Z273" s="20"/>
    </row>
    <row r="274">
      <c r="A274" s="20"/>
      <c r="B274" s="20"/>
      <c r="C274" s="20"/>
      <c r="D274" s="20"/>
      <c r="E274" s="20"/>
      <c r="F274" s="20"/>
      <c r="G274" s="20"/>
      <c r="H274" s="20"/>
      <c r="I274" s="20"/>
      <c r="J274" s="20"/>
      <c r="Z274" s="20"/>
    </row>
    <row r="275">
      <c r="A275" s="20"/>
      <c r="B275" s="20"/>
      <c r="C275" s="20"/>
      <c r="D275" s="20"/>
      <c r="E275" s="20"/>
      <c r="F275" s="20"/>
      <c r="G275" s="20"/>
      <c r="H275" s="20"/>
      <c r="I275" s="20"/>
      <c r="J275" s="20"/>
      <c r="Z275" s="20"/>
    </row>
    <row r="276">
      <c r="A276" s="20"/>
      <c r="B276" s="20"/>
      <c r="C276" s="20"/>
      <c r="D276" s="20"/>
      <c r="E276" s="20"/>
      <c r="F276" s="20"/>
      <c r="G276" s="20"/>
      <c r="H276" s="20"/>
      <c r="I276" s="20"/>
      <c r="J276" s="20"/>
      <c r="Z276" s="20"/>
    </row>
    <row r="277">
      <c r="A277" s="20"/>
      <c r="B277" s="20"/>
      <c r="C277" s="20"/>
      <c r="D277" s="20"/>
      <c r="E277" s="20"/>
      <c r="F277" s="20"/>
      <c r="G277" s="20"/>
      <c r="H277" s="20"/>
      <c r="I277" s="20"/>
      <c r="J277" s="20"/>
      <c r="Z277" s="20"/>
    </row>
    <row r="278">
      <c r="A278" s="20"/>
      <c r="B278" s="20"/>
      <c r="C278" s="20"/>
      <c r="D278" s="20"/>
      <c r="E278" s="20"/>
      <c r="F278" s="20"/>
      <c r="G278" s="20"/>
      <c r="H278" s="20"/>
      <c r="I278" s="20"/>
      <c r="J278" s="20"/>
      <c r="Z278" s="20"/>
    </row>
    <row r="279">
      <c r="A279" s="20"/>
      <c r="B279" s="20"/>
      <c r="C279" s="20"/>
      <c r="D279" s="20"/>
      <c r="E279" s="20"/>
      <c r="F279" s="20"/>
      <c r="G279" s="20"/>
      <c r="H279" s="20"/>
      <c r="I279" s="20"/>
      <c r="J279" s="20"/>
      <c r="Z279" s="20"/>
    </row>
    <row r="280">
      <c r="A280" s="20"/>
      <c r="B280" s="20"/>
      <c r="C280" s="20"/>
      <c r="D280" s="20"/>
      <c r="E280" s="20"/>
      <c r="F280" s="20"/>
      <c r="G280" s="20"/>
      <c r="H280" s="20"/>
      <c r="I280" s="20"/>
      <c r="J280" s="20"/>
      <c r="Z280" s="20"/>
    </row>
    <row r="281">
      <c r="A281" s="20"/>
      <c r="B281" s="20"/>
      <c r="C281" s="20"/>
      <c r="D281" s="20"/>
      <c r="E281" s="20"/>
      <c r="F281" s="20"/>
      <c r="G281" s="20"/>
      <c r="H281" s="20"/>
      <c r="I281" s="20"/>
      <c r="J281" s="20"/>
      <c r="Z281" s="20"/>
    </row>
    <row r="282">
      <c r="A282" s="20"/>
      <c r="B282" s="20"/>
      <c r="C282" s="20"/>
      <c r="D282" s="20"/>
      <c r="E282" s="20"/>
      <c r="F282" s="20"/>
      <c r="G282" s="20"/>
      <c r="H282" s="20"/>
      <c r="I282" s="20"/>
      <c r="J282" s="20"/>
      <c r="Z282" s="20"/>
    </row>
    <row r="283">
      <c r="A283" s="20"/>
      <c r="B283" s="20"/>
      <c r="C283" s="20"/>
      <c r="D283" s="20"/>
      <c r="E283" s="20"/>
      <c r="F283" s="20"/>
      <c r="G283" s="20"/>
      <c r="H283" s="20"/>
      <c r="I283" s="20"/>
      <c r="J283" s="20"/>
      <c r="Z283" s="20"/>
    </row>
    <row r="284">
      <c r="A284" s="20"/>
      <c r="B284" s="20"/>
      <c r="C284" s="20"/>
      <c r="D284" s="20"/>
      <c r="E284" s="20"/>
      <c r="F284" s="20"/>
      <c r="G284" s="20"/>
      <c r="H284" s="20"/>
      <c r="I284" s="20"/>
      <c r="J284" s="20"/>
      <c r="Z284" s="20"/>
    </row>
    <row r="285">
      <c r="A285" s="20"/>
      <c r="B285" s="20"/>
      <c r="C285" s="20"/>
      <c r="D285" s="20"/>
      <c r="E285" s="20"/>
      <c r="F285" s="20"/>
      <c r="G285" s="20"/>
      <c r="H285" s="20"/>
      <c r="I285" s="20"/>
      <c r="J285" s="20"/>
      <c r="Z285" s="20"/>
    </row>
    <row r="286">
      <c r="A286" s="20"/>
      <c r="B286" s="20"/>
      <c r="C286" s="20"/>
      <c r="D286" s="20"/>
      <c r="E286" s="20"/>
      <c r="F286" s="20"/>
      <c r="G286" s="20"/>
      <c r="H286" s="20"/>
      <c r="I286" s="20"/>
      <c r="J286" s="20"/>
      <c r="Z286" s="20"/>
    </row>
    <row r="287">
      <c r="A287" s="20"/>
      <c r="B287" s="20"/>
      <c r="C287" s="20"/>
      <c r="D287" s="20"/>
      <c r="E287" s="20"/>
      <c r="F287" s="20"/>
      <c r="G287" s="20"/>
      <c r="H287" s="20"/>
      <c r="I287" s="20"/>
      <c r="J287" s="20"/>
      <c r="Z287" s="20"/>
    </row>
    <row r="288">
      <c r="A288" s="20"/>
      <c r="B288" s="20"/>
      <c r="C288" s="20"/>
      <c r="D288" s="20"/>
      <c r="E288" s="20"/>
      <c r="F288" s="20"/>
      <c r="G288" s="20"/>
      <c r="H288" s="20"/>
      <c r="I288" s="20"/>
      <c r="J288" s="20"/>
      <c r="Z288" s="20"/>
    </row>
    <row r="289">
      <c r="A289" s="20"/>
      <c r="B289" s="20"/>
      <c r="C289" s="20"/>
      <c r="D289" s="20"/>
      <c r="E289" s="20"/>
      <c r="F289" s="20"/>
      <c r="G289" s="20"/>
      <c r="H289" s="20"/>
      <c r="I289" s="20"/>
      <c r="J289" s="20"/>
      <c r="Z289" s="20"/>
    </row>
    <row r="290">
      <c r="A290" s="20"/>
      <c r="B290" s="20"/>
      <c r="C290" s="20"/>
      <c r="D290" s="20"/>
      <c r="E290" s="20"/>
      <c r="F290" s="20"/>
      <c r="G290" s="20"/>
      <c r="H290" s="20"/>
      <c r="I290" s="20"/>
      <c r="J290" s="20"/>
      <c r="Z290" s="20"/>
    </row>
    <row r="291">
      <c r="A291" s="20"/>
      <c r="B291" s="20"/>
      <c r="C291" s="20"/>
      <c r="D291" s="20"/>
      <c r="E291" s="20"/>
      <c r="F291" s="20"/>
      <c r="G291" s="20"/>
      <c r="H291" s="20"/>
      <c r="I291" s="20"/>
      <c r="J291" s="20"/>
      <c r="Z291" s="20"/>
    </row>
    <row r="292">
      <c r="A292" s="20"/>
      <c r="B292" s="20"/>
      <c r="C292" s="20"/>
      <c r="D292" s="20"/>
      <c r="E292" s="20"/>
      <c r="F292" s="20"/>
      <c r="G292" s="20"/>
      <c r="H292" s="20"/>
      <c r="I292" s="20"/>
      <c r="J292" s="20"/>
      <c r="Z292" s="20"/>
    </row>
    <row r="293">
      <c r="A293" s="20"/>
      <c r="B293" s="20"/>
      <c r="C293" s="20"/>
      <c r="D293" s="20"/>
      <c r="E293" s="20"/>
      <c r="F293" s="20"/>
      <c r="G293" s="20"/>
      <c r="H293" s="20"/>
      <c r="I293" s="20"/>
      <c r="J293" s="20"/>
      <c r="Z293" s="20"/>
    </row>
    <row r="294">
      <c r="A294" s="20"/>
      <c r="B294" s="20"/>
      <c r="C294" s="20"/>
      <c r="D294" s="20"/>
      <c r="E294" s="20"/>
      <c r="F294" s="20"/>
      <c r="G294" s="20"/>
      <c r="H294" s="20"/>
      <c r="I294" s="20"/>
      <c r="J294" s="20"/>
      <c r="Z294" s="20"/>
    </row>
    <row r="295">
      <c r="A295" s="20"/>
      <c r="B295" s="20"/>
      <c r="C295" s="20"/>
      <c r="D295" s="20"/>
      <c r="E295" s="20"/>
      <c r="F295" s="20"/>
      <c r="G295" s="20"/>
      <c r="H295" s="20"/>
      <c r="I295" s="20"/>
      <c r="J295" s="20"/>
      <c r="Z295" s="20"/>
    </row>
    <row r="296">
      <c r="A296" s="20"/>
      <c r="B296" s="20"/>
      <c r="C296" s="20"/>
      <c r="D296" s="20"/>
      <c r="E296" s="20"/>
      <c r="F296" s="20"/>
      <c r="G296" s="20"/>
      <c r="H296" s="20"/>
      <c r="I296" s="20"/>
      <c r="J296" s="20"/>
      <c r="Z296" s="20"/>
    </row>
    <row r="297">
      <c r="A297" s="20"/>
      <c r="B297" s="20"/>
      <c r="C297" s="20"/>
      <c r="D297" s="20"/>
      <c r="E297" s="20"/>
      <c r="F297" s="20"/>
      <c r="G297" s="20"/>
      <c r="H297" s="20"/>
      <c r="I297" s="20"/>
      <c r="J297" s="20"/>
      <c r="Z297" s="20"/>
    </row>
    <row r="298">
      <c r="A298" s="20"/>
      <c r="B298" s="20"/>
      <c r="C298" s="20"/>
      <c r="D298" s="20"/>
      <c r="E298" s="20"/>
      <c r="F298" s="20"/>
      <c r="G298" s="20"/>
      <c r="H298" s="20"/>
      <c r="I298" s="20"/>
      <c r="J298" s="20"/>
      <c r="Z298" s="20"/>
    </row>
    <row r="299">
      <c r="A299" s="20"/>
      <c r="B299" s="20"/>
      <c r="C299" s="20"/>
      <c r="D299" s="20"/>
      <c r="E299" s="20"/>
      <c r="F299" s="20"/>
      <c r="G299" s="20"/>
      <c r="H299" s="20"/>
      <c r="I299" s="20"/>
      <c r="J299" s="20"/>
      <c r="Z299" s="20"/>
    </row>
    <row r="300">
      <c r="A300" s="20"/>
      <c r="B300" s="20"/>
      <c r="C300" s="20"/>
      <c r="D300" s="20"/>
      <c r="E300" s="20"/>
      <c r="F300" s="20"/>
      <c r="G300" s="20"/>
      <c r="H300" s="20"/>
      <c r="I300" s="20"/>
      <c r="J300" s="20"/>
      <c r="Z300" s="20"/>
    </row>
    <row r="301">
      <c r="A301" s="20"/>
      <c r="B301" s="20"/>
      <c r="C301" s="20"/>
      <c r="D301" s="20"/>
      <c r="E301" s="20"/>
      <c r="F301" s="20"/>
      <c r="G301" s="20"/>
      <c r="H301" s="20"/>
      <c r="I301" s="20"/>
      <c r="J301" s="20"/>
      <c r="Z301" s="20"/>
    </row>
    <row r="302">
      <c r="A302" s="20"/>
      <c r="B302" s="20"/>
      <c r="C302" s="20"/>
      <c r="D302" s="20"/>
      <c r="E302" s="20"/>
      <c r="F302" s="20"/>
      <c r="G302" s="20"/>
      <c r="H302" s="20"/>
      <c r="I302" s="20"/>
      <c r="J302" s="20"/>
      <c r="Z302" s="20"/>
    </row>
    <row r="303">
      <c r="A303" s="20"/>
      <c r="B303" s="20"/>
      <c r="C303" s="20"/>
      <c r="D303" s="20"/>
      <c r="E303" s="20"/>
      <c r="F303" s="20"/>
      <c r="G303" s="20"/>
      <c r="H303" s="20"/>
      <c r="I303" s="20"/>
      <c r="J303" s="20"/>
      <c r="Z303" s="20"/>
    </row>
    <row r="304">
      <c r="A304" s="20"/>
      <c r="B304" s="20"/>
      <c r="C304" s="20"/>
      <c r="D304" s="20"/>
      <c r="E304" s="20"/>
      <c r="F304" s="20"/>
      <c r="G304" s="20"/>
      <c r="H304" s="20"/>
      <c r="I304" s="20"/>
      <c r="J304" s="20"/>
      <c r="Z304" s="20"/>
    </row>
    <row r="305">
      <c r="A305" s="20"/>
      <c r="B305" s="20"/>
      <c r="C305" s="20"/>
      <c r="D305" s="20"/>
      <c r="E305" s="20"/>
      <c r="F305" s="20"/>
      <c r="G305" s="20"/>
      <c r="H305" s="20"/>
      <c r="I305" s="20"/>
      <c r="J305" s="20"/>
      <c r="Z305" s="20"/>
    </row>
    <row r="306">
      <c r="A306" s="20"/>
      <c r="B306" s="20"/>
      <c r="C306" s="20"/>
      <c r="D306" s="20"/>
      <c r="E306" s="20"/>
      <c r="F306" s="20"/>
      <c r="G306" s="20"/>
      <c r="H306" s="20"/>
      <c r="I306" s="20"/>
      <c r="J306" s="20"/>
      <c r="Z306" s="20"/>
    </row>
    <row r="307">
      <c r="A307" s="20"/>
      <c r="B307" s="20"/>
      <c r="C307" s="20"/>
      <c r="D307" s="20"/>
      <c r="E307" s="20"/>
      <c r="F307" s="20"/>
      <c r="G307" s="20"/>
      <c r="H307" s="20"/>
      <c r="I307" s="20"/>
      <c r="J307" s="20"/>
      <c r="Z307" s="20"/>
    </row>
    <row r="308">
      <c r="A308" s="20"/>
      <c r="B308" s="20"/>
      <c r="C308" s="20"/>
      <c r="D308" s="20"/>
      <c r="E308" s="20"/>
      <c r="F308" s="20"/>
      <c r="G308" s="20"/>
      <c r="H308" s="20"/>
      <c r="I308" s="20"/>
      <c r="J308" s="20"/>
      <c r="Z308" s="20"/>
    </row>
    <row r="309">
      <c r="A309" s="20"/>
      <c r="B309" s="20"/>
      <c r="C309" s="20"/>
      <c r="D309" s="20"/>
      <c r="E309" s="20"/>
      <c r="F309" s="20"/>
      <c r="G309" s="20"/>
      <c r="H309" s="20"/>
      <c r="I309" s="20"/>
      <c r="J309" s="20"/>
      <c r="Z309" s="20"/>
    </row>
    <row r="310">
      <c r="A310" s="20"/>
      <c r="B310" s="20"/>
      <c r="C310" s="20"/>
      <c r="D310" s="20"/>
      <c r="E310" s="20"/>
      <c r="F310" s="20"/>
      <c r="G310" s="20"/>
      <c r="H310" s="20"/>
      <c r="I310" s="20"/>
      <c r="J310" s="20"/>
      <c r="Z310" s="20"/>
    </row>
    <row r="311">
      <c r="A311" s="20"/>
      <c r="B311" s="20"/>
      <c r="C311" s="20"/>
      <c r="D311" s="20"/>
      <c r="E311" s="20"/>
      <c r="F311" s="20"/>
      <c r="G311" s="20"/>
      <c r="H311" s="20"/>
      <c r="I311" s="20"/>
      <c r="J311" s="20"/>
      <c r="Z311" s="20"/>
    </row>
    <row r="312">
      <c r="A312" s="20"/>
      <c r="B312" s="20"/>
      <c r="C312" s="20"/>
      <c r="D312" s="20"/>
      <c r="E312" s="20"/>
      <c r="F312" s="20"/>
      <c r="G312" s="20"/>
      <c r="H312" s="20"/>
      <c r="I312" s="20"/>
      <c r="J312" s="20"/>
      <c r="Z312" s="20"/>
    </row>
    <row r="313">
      <c r="A313" s="20"/>
      <c r="B313" s="20"/>
      <c r="C313" s="20"/>
      <c r="D313" s="20"/>
      <c r="E313" s="20"/>
      <c r="F313" s="20"/>
      <c r="G313" s="20"/>
      <c r="H313" s="20"/>
      <c r="I313" s="20"/>
      <c r="J313" s="20"/>
      <c r="Z313" s="20"/>
    </row>
    <row r="314">
      <c r="A314" s="20"/>
      <c r="B314" s="20"/>
      <c r="C314" s="20"/>
      <c r="D314" s="20"/>
      <c r="E314" s="20"/>
      <c r="F314" s="20"/>
      <c r="G314" s="20"/>
      <c r="H314" s="20"/>
      <c r="I314" s="20"/>
      <c r="J314" s="20"/>
      <c r="Z314" s="20"/>
    </row>
    <row r="315">
      <c r="A315" s="20"/>
      <c r="B315" s="20"/>
      <c r="C315" s="20"/>
      <c r="D315" s="20"/>
      <c r="E315" s="20"/>
      <c r="F315" s="20"/>
      <c r="G315" s="20"/>
      <c r="H315" s="20"/>
      <c r="I315" s="20"/>
      <c r="J315" s="20"/>
      <c r="Z315" s="20"/>
    </row>
    <row r="316">
      <c r="A316" s="20"/>
      <c r="B316" s="20"/>
      <c r="C316" s="20"/>
      <c r="D316" s="20"/>
      <c r="E316" s="20"/>
      <c r="F316" s="20"/>
      <c r="G316" s="20"/>
      <c r="H316" s="20"/>
      <c r="I316" s="20"/>
      <c r="J316" s="20"/>
      <c r="Z316" s="20"/>
    </row>
    <row r="317">
      <c r="A317" s="20"/>
      <c r="B317" s="20"/>
      <c r="C317" s="20"/>
      <c r="D317" s="20"/>
      <c r="E317" s="20"/>
      <c r="F317" s="20"/>
      <c r="G317" s="20"/>
      <c r="H317" s="20"/>
      <c r="I317" s="20"/>
      <c r="J317" s="20"/>
      <c r="Z317" s="20"/>
    </row>
    <row r="318">
      <c r="A318" s="20"/>
      <c r="B318" s="20"/>
      <c r="C318" s="20"/>
      <c r="D318" s="20"/>
      <c r="E318" s="20"/>
      <c r="F318" s="20"/>
      <c r="G318" s="20"/>
      <c r="H318" s="20"/>
      <c r="I318" s="20"/>
      <c r="J318" s="20"/>
      <c r="Z318" s="20"/>
    </row>
    <row r="319">
      <c r="A319" s="20"/>
      <c r="B319" s="20"/>
      <c r="C319" s="20"/>
      <c r="D319" s="20"/>
      <c r="E319" s="20"/>
      <c r="F319" s="20"/>
      <c r="G319" s="20"/>
      <c r="H319" s="20"/>
      <c r="I319" s="20"/>
      <c r="J319" s="20"/>
      <c r="Z319" s="20"/>
    </row>
    <row r="320">
      <c r="A320" s="20"/>
      <c r="B320" s="20"/>
      <c r="C320" s="20"/>
      <c r="D320" s="20"/>
      <c r="E320" s="20"/>
      <c r="F320" s="20"/>
      <c r="G320" s="20"/>
      <c r="H320" s="20"/>
      <c r="I320" s="20"/>
      <c r="J320" s="20"/>
      <c r="Z320" s="20"/>
    </row>
    <row r="321">
      <c r="A321" s="20"/>
      <c r="B321" s="20"/>
      <c r="C321" s="20"/>
      <c r="D321" s="20"/>
      <c r="E321" s="20"/>
      <c r="F321" s="20"/>
      <c r="G321" s="20"/>
      <c r="H321" s="20"/>
      <c r="I321" s="20"/>
      <c r="J321" s="20"/>
      <c r="Z321" s="20"/>
    </row>
    <row r="322">
      <c r="A322" s="20"/>
      <c r="B322" s="20"/>
      <c r="C322" s="20"/>
      <c r="D322" s="20"/>
      <c r="E322" s="20"/>
      <c r="F322" s="20"/>
      <c r="G322" s="20"/>
      <c r="H322" s="20"/>
      <c r="I322" s="20"/>
      <c r="J322" s="20"/>
      <c r="Z322" s="20"/>
    </row>
    <row r="323">
      <c r="A323" s="20"/>
      <c r="B323" s="20"/>
      <c r="C323" s="20"/>
      <c r="D323" s="20"/>
      <c r="E323" s="20"/>
      <c r="F323" s="20"/>
      <c r="G323" s="20"/>
      <c r="H323" s="20"/>
      <c r="I323" s="20"/>
      <c r="J323" s="20"/>
      <c r="Z323" s="20"/>
    </row>
    <row r="324">
      <c r="A324" s="20"/>
      <c r="B324" s="20"/>
      <c r="C324" s="20"/>
      <c r="D324" s="20"/>
      <c r="E324" s="20"/>
      <c r="F324" s="20"/>
      <c r="G324" s="20"/>
      <c r="H324" s="20"/>
      <c r="I324" s="20"/>
      <c r="J324" s="20"/>
      <c r="Z324" s="20"/>
    </row>
    <row r="325">
      <c r="A325" s="20"/>
      <c r="B325" s="20"/>
      <c r="C325" s="20"/>
      <c r="D325" s="20"/>
      <c r="E325" s="20"/>
      <c r="F325" s="20"/>
      <c r="G325" s="20"/>
      <c r="H325" s="20"/>
      <c r="I325" s="20"/>
      <c r="J325" s="20"/>
      <c r="Z325" s="20"/>
    </row>
    <row r="326">
      <c r="A326" s="20"/>
      <c r="B326" s="20"/>
      <c r="C326" s="20"/>
      <c r="D326" s="20"/>
      <c r="E326" s="20"/>
      <c r="F326" s="20"/>
      <c r="G326" s="20"/>
      <c r="H326" s="20"/>
      <c r="I326" s="20"/>
      <c r="J326" s="20"/>
      <c r="Z326" s="20"/>
    </row>
    <row r="327">
      <c r="A327" s="20"/>
      <c r="B327" s="20"/>
      <c r="C327" s="20"/>
      <c r="D327" s="20"/>
      <c r="E327" s="20"/>
      <c r="F327" s="20"/>
      <c r="G327" s="20"/>
      <c r="H327" s="20"/>
      <c r="I327" s="20"/>
      <c r="J327" s="20"/>
      <c r="Z327" s="20"/>
    </row>
    <row r="328">
      <c r="A328" s="20"/>
      <c r="B328" s="20"/>
      <c r="C328" s="20"/>
      <c r="D328" s="20"/>
      <c r="E328" s="20"/>
      <c r="F328" s="20"/>
      <c r="G328" s="20"/>
      <c r="H328" s="20"/>
      <c r="I328" s="20"/>
      <c r="J328" s="20"/>
      <c r="Z328" s="20"/>
    </row>
    <row r="329">
      <c r="A329" s="20"/>
      <c r="B329" s="20"/>
      <c r="C329" s="20"/>
      <c r="D329" s="20"/>
      <c r="E329" s="20"/>
      <c r="F329" s="20"/>
      <c r="G329" s="20"/>
      <c r="H329" s="20"/>
      <c r="I329" s="20"/>
      <c r="J329" s="20"/>
      <c r="Z329" s="20"/>
    </row>
    <row r="330">
      <c r="A330" s="20"/>
      <c r="B330" s="20"/>
      <c r="C330" s="20"/>
      <c r="D330" s="20"/>
      <c r="E330" s="20"/>
      <c r="F330" s="20"/>
      <c r="G330" s="20"/>
      <c r="H330" s="20"/>
      <c r="I330" s="20"/>
      <c r="J330" s="20"/>
      <c r="Z330" s="20"/>
    </row>
    <row r="331">
      <c r="A331" s="20"/>
      <c r="B331" s="20"/>
      <c r="C331" s="20"/>
      <c r="D331" s="20"/>
      <c r="E331" s="20"/>
      <c r="F331" s="20"/>
      <c r="G331" s="20"/>
      <c r="H331" s="20"/>
      <c r="I331" s="20"/>
      <c r="J331" s="20"/>
      <c r="Z331" s="20"/>
    </row>
    <row r="332">
      <c r="A332" s="20"/>
      <c r="B332" s="20"/>
      <c r="C332" s="20"/>
      <c r="D332" s="20"/>
      <c r="E332" s="20"/>
      <c r="F332" s="20"/>
      <c r="G332" s="20"/>
      <c r="H332" s="20"/>
      <c r="I332" s="20"/>
      <c r="J332" s="20"/>
      <c r="Z332" s="20"/>
    </row>
    <row r="333">
      <c r="A333" s="20"/>
      <c r="B333" s="20"/>
      <c r="C333" s="20"/>
      <c r="D333" s="20"/>
      <c r="E333" s="20"/>
      <c r="F333" s="20"/>
      <c r="G333" s="20"/>
      <c r="H333" s="20"/>
      <c r="I333" s="20"/>
      <c r="J333" s="20"/>
      <c r="Z333" s="20"/>
    </row>
    <row r="334">
      <c r="A334" s="20"/>
      <c r="B334" s="20"/>
      <c r="C334" s="20"/>
      <c r="D334" s="20"/>
      <c r="E334" s="20"/>
      <c r="F334" s="20"/>
      <c r="G334" s="20"/>
      <c r="H334" s="20"/>
      <c r="I334" s="20"/>
      <c r="J334" s="20"/>
      <c r="Z334" s="20"/>
    </row>
    <row r="335">
      <c r="A335" s="20"/>
      <c r="B335" s="20"/>
      <c r="C335" s="20"/>
      <c r="D335" s="20"/>
      <c r="E335" s="20"/>
      <c r="F335" s="20"/>
      <c r="G335" s="20"/>
      <c r="H335" s="20"/>
      <c r="I335" s="20"/>
      <c r="J335" s="20"/>
      <c r="Z335" s="20"/>
    </row>
    <row r="336">
      <c r="A336" s="20"/>
      <c r="B336" s="20"/>
      <c r="C336" s="20"/>
      <c r="D336" s="20"/>
      <c r="E336" s="20"/>
      <c r="F336" s="20"/>
      <c r="G336" s="20"/>
      <c r="H336" s="20"/>
      <c r="I336" s="20"/>
      <c r="J336" s="20"/>
      <c r="Z336" s="20"/>
    </row>
    <row r="337">
      <c r="A337" s="20"/>
      <c r="B337" s="20"/>
      <c r="C337" s="20"/>
      <c r="D337" s="20"/>
      <c r="E337" s="20"/>
      <c r="F337" s="20"/>
      <c r="G337" s="20"/>
      <c r="H337" s="20"/>
      <c r="I337" s="20"/>
      <c r="J337" s="20"/>
      <c r="Z337" s="20"/>
    </row>
    <row r="338">
      <c r="A338" s="20"/>
      <c r="B338" s="20"/>
      <c r="C338" s="20"/>
      <c r="D338" s="20"/>
      <c r="E338" s="20"/>
      <c r="F338" s="20"/>
      <c r="G338" s="20"/>
      <c r="H338" s="20"/>
      <c r="I338" s="20"/>
      <c r="J338" s="20"/>
      <c r="Z338" s="20"/>
    </row>
    <row r="339">
      <c r="A339" s="20"/>
      <c r="B339" s="20"/>
      <c r="C339" s="20"/>
      <c r="D339" s="20"/>
      <c r="E339" s="20"/>
      <c r="F339" s="20"/>
      <c r="G339" s="20"/>
      <c r="H339" s="20"/>
      <c r="I339" s="20"/>
      <c r="J339" s="20"/>
      <c r="Z339" s="20"/>
    </row>
    <row r="340">
      <c r="A340" s="20"/>
      <c r="B340" s="20"/>
      <c r="C340" s="20"/>
      <c r="D340" s="20"/>
      <c r="E340" s="20"/>
      <c r="F340" s="20"/>
      <c r="G340" s="20"/>
      <c r="H340" s="20"/>
      <c r="I340" s="20"/>
      <c r="J340" s="20"/>
      <c r="Z340" s="20"/>
    </row>
    <row r="341">
      <c r="A341" s="20"/>
      <c r="B341" s="20"/>
      <c r="C341" s="20"/>
      <c r="D341" s="20"/>
      <c r="E341" s="20"/>
      <c r="F341" s="20"/>
      <c r="G341" s="20"/>
      <c r="H341" s="20"/>
      <c r="I341" s="20"/>
      <c r="J341" s="20"/>
      <c r="Z341" s="20"/>
    </row>
    <row r="342">
      <c r="A342" s="20"/>
      <c r="B342" s="20"/>
      <c r="C342" s="20"/>
      <c r="D342" s="20"/>
      <c r="E342" s="20"/>
      <c r="F342" s="20"/>
      <c r="G342" s="20"/>
      <c r="H342" s="20"/>
      <c r="I342" s="20"/>
      <c r="J342" s="20"/>
      <c r="Z342" s="20"/>
    </row>
    <row r="343">
      <c r="A343" s="20"/>
      <c r="B343" s="20"/>
      <c r="C343" s="20"/>
      <c r="D343" s="20"/>
      <c r="E343" s="20"/>
      <c r="F343" s="20"/>
      <c r="G343" s="20"/>
      <c r="H343" s="20"/>
      <c r="I343" s="20"/>
      <c r="J343" s="20"/>
      <c r="Z343" s="20"/>
    </row>
    <row r="344">
      <c r="A344" s="20"/>
      <c r="B344" s="20"/>
      <c r="C344" s="20"/>
      <c r="D344" s="20"/>
      <c r="E344" s="20"/>
      <c r="F344" s="20"/>
      <c r="G344" s="20"/>
      <c r="H344" s="20"/>
      <c r="I344" s="20"/>
      <c r="J344" s="20"/>
      <c r="Z344" s="20"/>
    </row>
    <row r="345">
      <c r="A345" s="20"/>
      <c r="B345" s="20"/>
      <c r="C345" s="20"/>
      <c r="D345" s="20"/>
      <c r="E345" s="20"/>
      <c r="F345" s="20"/>
      <c r="G345" s="20"/>
      <c r="H345" s="20"/>
      <c r="I345" s="20"/>
      <c r="J345" s="20"/>
      <c r="Z345" s="20"/>
    </row>
    <row r="346">
      <c r="A346" s="20"/>
      <c r="B346" s="20"/>
      <c r="C346" s="20"/>
      <c r="D346" s="20"/>
      <c r="E346" s="20"/>
      <c r="F346" s="20"/>
      <c r="G346" s="20"/>
      <c r="H346" s="20"/>
      <c r="I346" s="20"/>
      <c r="J346" s="20"/>
      <c r="Z346" s="20"/>
    </row>
    <row r="347">
      <c r="A347" s="20"/>
      <c r="B347" s="20"/>
      <c r="C347" s="20"/>
      <c r="D347" s="20"/>
      <c r="E347" s="20"/>
      <c r="F347" s="20"/>
      <c r="G347" s="20"/>
      <c r="H347" s="20"/>
      <c r="I347" s="20"/>
      <c r="J347" s="20"/>
      <c r="Z347" s="20"/>
    </row>
    <row r="348">
      <c r="A348" s="20"/>
      <c r="B348" s="20"/>
      <c r="C348" s="20"/>
      <c r="D348" s="20"/>
      <c r="E348" s="20"/>
      <c r="F348" s="20"/>
      <c r="G348" s="20"/>
      <c r="H348" s="20"/>
      <c r="I348" s="20"/>
      <c r="J348" s="20"/>
      <c r="Z348" s="20"/>
    </row>
    <row r="349">
      <c r="A349" s="20"/>
      <c r="B349" s="20"/>
      <c r="C349" s="20"/>
      <c r="D349" s="20"/>
      <c r="E349" s="20"/>
      <c r="F349" s="20"/>
      <c r="G349" s="20"/>
      <c r="H349" s="20"/>
      <c r="I349" s="20"/>
      <c r="J349" s="20"/>
      <c r="Z349" s="20"/>
    </row>
    <row r="350">
      <c r="A350" s="20"/>
      <c r="B350" s="20"/>
      <c r="C350" s="20"/>
      <c r="D350" s="20"/>
      <c r="E350" s="20"/>
      <c r="F350" s="20"/>
      <c r="G350" s="20"/>
      <c r="H350" s="20"/>
      <c r="I350" s="20"/>
      <c r="J350" s="20"/>
      <c r="Z350" s="20"/>
    </row>
    <row r="351">
      <c r="A351" s="20"/>
      <c r="B351" s="20"/>
      <c r="C351" s="20"/>
      <c r="D351" s="20"/>
      <c r="E351" s="20"/>
      <c r="F351" s="20"/>
      <c r="G351" s="20"/>
      <c r="H351" s="20"/>
      <c r="I351" s="20"/>
      <c r="J351" s="20"/>
      <c r="Z351" s="20"/>
    </row>
    <row r="352">
      <c r="A352" s="20"/>
      <c r="B352" s="20"/>
      <c r="C352" s="20"/>
      <c r="D352" s="20"/>
      <c r="E352" s="20"/>
      <c r="F352" s="20"/>
      <c r="G352" s="20"/>
      <c r="H352" s="20"/>
      <c r="I352" s="20"/>
      <c r="J352" s="20"/>
      <c r="Z352" s="20"/>
    </row>
    <row r="353">
      <c r="A353" s="20"/>
      <c r="B353" s="20"/>
      <c r="C353" s="20"/>
      <c r="D353" s="20"/>
      <c r="E353" s="20"/>
      <c r="F353" s="20"/>
      <c r="G353" s="20"/>
      <c r="H353" s="20"/>
      <c r="I353" s="20"/>
      <c r="J353" s="20"/>
      <c r="Z353" s="20"/>
    </row>
    <row r="354">
      <c r="A354" s="20"/>
      <c r="B354" s="20"/>
      <c r="C354" s="20"/>
      <c r="D354" s="20"/>
      <c r="E354" s="20"/>
      <c r="F354" s="20"/>
      <c r="G354" s="20"/>
      <c r="H354" s="20"/>
      <c r="I354" s="20"/>
      <c r="J354" s="20"/>
      <c r="Z354" s="20"/>
    </row>
    <row r="355">
      <c r="A355" s="20"/>
      <c r="B355" s="20"/>
      <c r="C355" s="20"/>
      <c r="D355" s="20"/>
      <c r="E355" s="20"/>
      <c r="F355" s="20"/>
      <c r="G355" s="20"/>
      <c r="H355" s="20"/>
      <c r="I355" s="20"/>
      <c r="J355" s="20"/>
      <c r="Z355" s="20"/>
    </row>
    <row r="356">
      <c r="A356" s="20"/>
      <c r="B356" s="20"/>
      <c r="C356" s="20"/>
      <c r="D356" s="20"/>
      <c r="E356" s="20"/>
      <c r="F356" s="20"/>
      <c r="G356" s="20"/>
      <c r="H356" s="20"/>
      <c r="I356" s="20"/>
      <c r="J356" s="20"/>
      <c r="Z356" s="20"/>
    </row>
    <row r="357">
      <c r="A357" s="20"/>
      <c r="B357" s="20"/>
      <c r="C357" s="20"/>
      <c r="D357" s="20"/>
      <c r="E357" s="20"/>
      <c r="F357" s="20"/>
      <c r="G357" s="20"/>
      <c r="H357" s="20"/>
      <c r="I357" s="20"/>
      <c r="J357" s="20"/>
      <c r="Z357" s="20"/>
    </row>
    <row r="358">
      <c r="A358" s="20"/>
      <c r="B358" s="20"/>
      <c r="C358" s="20"/>
      <c r="D358" s="20"/>
      <c r="E358" s="20"/>
      <c r="F358" s="20"/>
      <c r="G358" s="20"/>
      <c r="H358" s="20"/>
      <c r="I358" s="20"/>
      <c r="J358" s="20"/>
      <c r="Z358" s="20"/>
    </row>
    <row r="359">
      <c r="A359" s="20"/>
      <c r="B359" s="20"/>
      <c r="C359" s="20"/>
      <c r="D359" s="20"/>
      <c r="E359" s="20"/>
      <c r="F359" s="20"/>
      <c r="G359" s="20"/>
      <c r="H359" s="20"/>
      <c r="I359" s="20"/>
      <c r="J359" s="20"/>
      <c r="Z359" s="20"/>
    </row>
    <row r="360">
      <c r="A360" s="20"/>
      <c r="B360" s="20"/>
      <c r="C360" s="20"/>
      <c r="D360" s="20"/>
      <c r="E360" s="20"/>
      <c r="F360" s="20"/>
      <c r="G360" s="20"/>
      <c r="H360" s="20"/>
      <c r="I360" s="20"/>
      <c r="J360" s="20"/>
      <c r="Z360" s="20"/>
    </row>
    <row r="361">
      <c r="A361" s="20"/>
      <c r="B361" s="20"/>
      <c r="C361" s="20"/>
      <c r="D361" s="20"/>
      <c r="E361" s="20"/>
      <c r="F361" s="20"/>
      <c r="G361" s="20"/>
      <c r="H361" s="20"/>
      <c r="I361" s="20"/>
      <c r="J361" s="20"/>
      <c r="Z361" s="20"/>
    </row>
    <row r="362">
      <c r="A362" s="20"/>
      <c r="B362" s="20"/>
      <c r="C362" s="20"/>
      <c r="D362" s="20"/>
      <c r="E362" s="20"/>
      <c r="F362" s="20"/>
      <c r="G362" s="20"/>
      <c r="H362" s="20"/>
      <c r="I362" s="20"/>
      <c r="J362" s="20"/>
      <c r="Z362" s="20"/>
    </row>
    <row r="363">
      <c r="A363" s="20"/>
      <c r="B363" s="20"/>
      <c r="C363" s="20"/>
      <c r="D363" s="20"/>
      <c r="E363" s="20"/>
      <c r="F363" s="20"/>
      <c r="G363" s="20"/>
      <c r="H363" s="20"/>
      <c r="I363" s="20"/>
      <c r="J363" s="20"/>
      <c r="Z363" s="20"/>
    </row>
    <row r="364">
      <c r="A364" s="20"/>
      <c r="B364" s="20"/>
      <c r="C364" s="20"/>
      <c r="D364" s="20"/>
      <c r="E364" s="20"/>
      <c r="F364" s="20"/>
      <c r="G364" s="20"/>
      <c r="H364" s="20"/>
      <c r="I364" s="20"/>
      <c r="J364" s="20"/>
      <c r="Z364" s="20"/>
    </row>
    <row r="365">
      <c r="A365" s="20"/>
      <c r="B365" s="20"/>
      <c r="C365" s="20"/>
      <c r="D365" s="20"/>
      <c r="E365" s="20"/>
      <c r="F365" s="20"/>
      <c r="G365" s="20"/>
      <c r="H365" s="20"/>
      <c r="I365" s="20"/>
      <c r="J365" s="20"/>
      <c r="Z365" s="20"/>
    </row>
    <row r="366">
      <c r="A366" s="20"/>
      <c r="B366" s="20"/>
      <c r="C366" s="20"/>
      <c r="D366" s="20"/>
      <c r="E366" s="20"/>
      <c r="F366" s="20"/>
      <c r="G366" s="20"/>
      <c r="H366" s="20"/>
      <c r="I366" s="20"/>
      <c r="J366" s="20"/>
      <c r="Z366" s="20"/>
    </row>
    <row r="367">
      <c r="A367" s="20"/>
      <c r="B367" s="20"/>
      <c r="C367" s="20"/>
      <c r="D367" s="20"/>
      <c r="E367" s="20"/>
      <c r="F367" s="20"/>
      <c r="G367" s="20"/>
      <c r="H367" s="20"/>
      <c r="I367" s="20"/>
      <c r="J367" s="20"/>
      <c r="Z367" s="20"/>
    </row>
    <row r="368">
      <c r="A368" s="20"/>
      <c r="B368" s="20"/>
      <c r="C368" s="20"/>
      <c r="D368" s="20"/>
      <c r="E368" s="20"/>
      <c r="F368" s="20"/>
      <c r="G368" s="20"/>
      <c r="H368" s="20"/>
      <c r="I368" s="20"/>
      <c r="J368" s="20"/>
      <c r="Z368" s="20"/>
    </row>
    <row r="369">
      <c r="A369" s="20"/>
      <c r="B369" s="20"/>
      <c r="C369" s="20"/>
      <c r="D369" s="20"/>
      <c r="E369" s="20"/>
      <c r="F369" s="20"/>
      <c r="G369" s="20"/>
      <c r="H369" s="20"/>
      <c r="I369" s="20"/>
      <c r="J369" s="20"/>
      <c r="Z369" s="20"/>
    </row>
    <row r="370">
      <c r="A370" s="20"/>
      <c r="B370" s="20"/>
      <c r="C370" s="20"/>
      <c r="D370" s="20"/>
      <c r="E370" s="20"/>
      <c r="F370" s="20"/>
      <c r="G370" s="20"/>
      <c r="H370" s="20"/>
      <c r="I370" s="20"/>
      <c r="J370" s="20"/>
      <c r="Z370" s="20"/>
    </row>
    <row r="371">
      <c r="A371" s="20"/>
      <c r="B371" s="20"/>
      <c r="C371" s="20"/>
      <c r="D371" s="20"/>
      <c r="E371" s="20"/>
      <c r="F371" s="20"/>
      <c r="G371" s="20"/>
      <c r="H371" s="20"/>
      <c r="I371" s="20"/>
      <c r="J371" s="20"/>
      <c r="Z371" s="20"/>
    </row>
    <row r="372">
      <c r="A372" s="20"/>
      <c r="B372" s="20"/>
      <c r="C372" s="20"/>
      <c r="D372" s="20"/>
      <c r="E372" s="20"/>
      <c r="F372" s="20"/>
      <c r="G372" s="20"/>
      <c r="H372" s="20"/>
      <c r="I372" s="20"/>
      <c r="J372" s="20"/>
      <c r="Z372" s="20"/>
    </row>
    <row r="373">
      <c r="A373" s="20"/>
      <c r="B373" s="20"/>
      <c r="C373" s="20"/>
      <c r="D373" s="20"/>
      <c r="E373" s="20"/>
      <c r="F373" s="20"/>
      <c r="G373" s="20"/>
      <c r="H373" s="20"/>
      <c r="I373" s="20"/>
      <c r="J373" s="20"/>
      <c r="Z373" s="20"/>
    </row>
    <row r="374">
      <c r="A374" s="20"/>
      <c r="B374" s="20"/>
      <c r="C374" s="20"/>
      <c r="D374" s="20"/>
      <c r="E374" s="20"/>
      <c r="F374" s="20"/>
      <c r="G374" s="20"/>
      <c r="H374" s="20"/>
      <c r="I374" s="20"/>
      <c r="J374" s="20"/>
      <c r="Z374" s="20"/>
    </row>
    <row r="375">
      <c r="A375" s="20"/>
      <c r="B375" s="20"/>
      <c r="C375" s="20"/>
      <c r="D375" s="20"/>
      <c r="E375" s="20"/>
      <c r="F375" s="20"/>
      <c r="G375" s="20"/>
      <c r="H375" s="20"/>
      <c r="I375" s="20"/>
      <c r="J375" s="20"/>
      <c r="Z375" s="20"/>
    </row>
    <row r="376">
      <c r="A376" s="20"/>
      <c r="B376" s="20"/>
      <c r="C376" s="20"/>
      <c r="D376" s="20"/>
      <c r="E376" s="20"/>
      <c r="F376" s="20"/>
      <c r="G376" s="20"/>
      <c r="H376" s="20"/>
      <c r="I376" s="20"/>
      <c r="J376" s="20"/>
      <c r="Z376" s="20"/>
    </row>
    <row r="377">
      <c r="A377" s="20"/>
      <c r="B377" s="20"/>
      <c r="C377" s="20"/>
      <c r="D377" s="20"/>
      <c r="E377" s="20"/>
      <c r="F377" s="20"/>
      <c r="G377" s="20"/>
      <c r="H377" s="20"/>
      <c r="I377" s="20"/>
      <c r="J377" s="20"/>
      <c r="Z377" s="20"/>
    </row>
    <row r="378">
      <c r="A378" s="20"/>
      <c r="B378" s="20"/>
      <c r="C378" s="20"/>
      <c r="D378" s="20"/>
      <c r="E378" s="20"/>
      <c r="F378" s="20"/>
      <c r="G378" s="20"/>
      <c r="H378" s="20"/>
      <c r="I378" s="20"/>
      <c r="J378" s="20"/>
      <c r="Z378" s="20"/>
    </row>
    <row r="379">
      <c r="A379" s="20"/>
      <c r="B379" s="20"/>
      <c r="C379" s="20"/>
      <c r="D379" s="20"/>
      <c r="E379" s="20"/>
      <c r="F379" s="20"/>
      <c r="G379" s="20"/>
      <c r="H379" s="20"/>
      <c r="I379" s="20"/>
      <c r="J379" s="20"/>
      <c r="Z379" s="20"/>
    </row>
    <row r="380">
      <c r="A380" s="20"/>
      <c r="B380" s="20"/>
      <c r="C380" s="20"/>
      <c r="D380" s="20"/>
      <c r="E380" s="20"/>
      <c r="F380" s="20"/>
      <c r="G380" s="20"/>
      <c r="H380" s="20"/>
      <c r="I380" s="20"/>
      <c r="J380" s="20"/>
      <c r="Z380" s="20"/>
    </row>
    <row r="381">
      <c r="A381" s="20"/>
      <c r="B381" s="20"/>
      <c r="C381" s="20"/>
      <c r="D381" s="20"/>
      <c r="E381" s="20"/>
      <c r="F381" s="20"/>
      <c r="G381" s="20"/>
      <c r="H381" s="20"/>
      <c r="I381" s="20"/>
      <c r="J381" s="20"/>
      <c r="Z381" s="20"/>
    </row>
    <row r="382">
      <c r="A382" s="20"/>
      <c r="B382" s="20"/>
      <c r="C382" s="20"/>
      <c r="D382" s="20"/>
      <c r="E382" s="20"/>
      <c r="F382" s="20"/>
      <c r="G382" s="20"/>
      <c r="H382" s="20"/>
      <c r="I382" s="20"/>
      <c r="J382" s="20"/>
      <c r="Z382" s="20"/>
    </row>
    <row r="383">
      <c r="A383" s="20"/>
      <c r="B383" s="20"/>
      <c r="C383" s="20"/>
      <c r="D383" s="20"/>
      <c r="E383" s="20"/>
      <c r="F383" s="20"/>
      <c r="G383" s="20"/>
      <c r="H383" s="20"/>
      <c r="I383" s="20"/>
      <c r="J383" s="20"/>
      <c r="Z383" s="20"/>
    </row>
    <row r="384">
      <c r="A384" s="20"/>
      <c r="B384" s="20"/>
      <c r="C384" s="20"/>
      <c r="D384" s="20"/>
      <c r="E384" s="20"/>
      <c r="F384" s="20"/>
      <c r="G384" s="20"/>
      <c r="H384" s="20"/>
      <c r="I384" s="20"/>
      <c r="J384" s="20"/>
      <c r="Z384" s="20"/>
    </row>
    <row r="385">
      <c r="A385" s="20"/>
      <c r="B385" s="20"/>
      <c r="C385" s="20"/>
      <c r="D385" s="20"/>
      <c r="E385" s="20"/>
      <c r="F385" s="20"/>
      <c r="G385" s="20"/>
      <c r="H385" s="20"/>
      <c r="I385" s="20"/>
      <c r="J385" s="20"/>
      <c r="Z385" s="20"/>
    </row>
    <row r="386">
      <c r="A386" s="20"/>
      <c r="B386" s="20"/>
      <c r="C386" s="20"/>
      <c r="D386" s="20"/>
      <c r="E386" s="20"/>
      <c r="F386" s="20"/>
      <c r="G386" s="20"/>
      <c r="H386" s="20"/>
      <c r="I386" s="20"/>
      <c r="J386" s="20"/>
      <c r="Z386" s="20"/>
    </row>
    <row r="387">
      <c r="A387" s="20"/>
      <c r="B387" s="20"/>
      <c r="C387" s="20"/>
      <c r="D387" s="20"/>
      <c r="E387" s="20"/>
      <c r="F387" s="20"/>
      <c r="G387" s="20"/>
      <c r="H387" s="20"/>
      <c r="I387" s="20"/>
      <c r="J387" s="20"/>
      <c r="Z387" s="20"/>
    </row>
    <row r="388">
      <c r="A388" s="20"/>
      <c r="B388" s="20"/>
      <c r="C388" s="20"/>
      <c r="D388" s="20"/>
      <c r="E388" s="20"/>
      <c r="F388" s="20"/>
      <c r="G388" s="20"/>
      <c r="H388" s="20"/>
      <c r="I388" s="20"/>
      <c r="J388" s="20"/>
      <c r="Z388" s="20"/>
    </row>
    <row r="389">
      <c r="A389" s="20"/>
      <c r="B389" s="20"/>
      <c r="C389" s="20"/>
      <c r="D389" s="20"/>
      <c r="E389" s="20"/>
      <c r="F389" s="20"/>
      <c r="G389" s="20"/>
      <c r="H389" s="20"/>
      <c r="I389" s="20"/>
      <c r="J389" s="20"/>
      <c r="Z389" s="20"/>
    </row>
    <row r="390">
      <c r="A390" s="20"/>
      <c r="B390" s="20"/>
      <c r="C390" s="20"/>
      <c r="D390" s="20"/>
      <c r="E390" s="20"/>
      <c r="F390" s="20"/>
      <c r="G390" s="20"/>
      <c r="H390" s="20"/>
      <c r="I390" s="20"/>
      <c r="J390" s="20"/>
      <c r="Z390" s="20"/>
    </row>
    <row r="391">
      <c r="A391" s="20"/>
      <c r="B391" s="20"/>
      <c r="C391" s="20"/>
      <c r="D391" s="20"/>
      <c r="E391" s="20"/>
      <c r="F391" s="20"/>
      <c r="G391" s="20"/>
      <c r="H391" s="20"/>
      <c r="I391" s="20"/>
      <c r="J391" s="20"/>
      <c r="Z391" s="20"/>
    </row>
    <row r="392">
      <c r="A392" s="20"/>
      <c r="B392" s="20"/>
      <c r="C392" s="20"/>
      <c r="D392" s="20"/>
      <c r="E392" s="20"/>
      <c r="F392" s="20"/>
      <c r="G392" s="20"/>
      <c r="H392" s="20"/>
      <c r="I392" s="20"/>
      <c r="J392" s="20"/>
      <c r="Z392" s="20"/>
    </row>
    <row r="393">
      <c r="A393" s="20"/>
      <c r="B393" s="20"/>
      <c r="C393" s="20"/>
      <c r="D393" s="20"/>
      <c r="E393" s="20"/>
      <c r="F393" s="20"/>
      <c r="G393" s="20"/>
      <c r="H393" s="20"/>
      <c r="I393" s="20"/>
      <c r="J393" s="20"/>
      <c r="Z393" s="20"/>
    </row>
    <row r="394">
      <c r="A394" s="20"/>
      <c r="B394" s="20"/>
      <c r="C394" s="20"/>
      <c r="D394" s="20"/>
      <c r="E394" s="20"/>
      <c r="F394" s="20"/>
      <c r="G394" s="20"/>
      <c r="H394" s="20"/>
      <c r="I394" s="20"/>
      <c r="J394" s="20"/>
      <c r="Z394" s="20"/>
    </row>
    <row r="395">
      <c r="A395" s="20"/>
      <c r="B395" s="20"/>
      <c r="C395" s="20"/>
      <c r="D395" s="20"/>
      <c r="E395" s="20"/>
      <c r="F395" s="20"/>
      <c r="G395" s="20"/>
      <c r="H395" s="20"/>
      <c r="I395" s="20"/>
      <c r="J395" s="20"/>
      <c r="Z395" s="20"/>
    </row>
    <row r="396">
      <c r="A396" s="20"/>
      <c r="B396" s="20"/>
      <c r="C396" s="20"/>
      <c r="D396" s="20"/>
      <c r="E396" s="20"/>
      <c r="F396" s="20"/>
      <c r="G396" s="20"/>
      <c r="H396" s="20"/>
      <c r="I396" s="20"/>
      <c r="J396" s="20"/>
      <c r="Z396" s="20"/>
    </row>
    <row r="397">
      <c r="A397" s="20"/>
      <c r="B397" s="20"/>
      <c r="C397" s="20"/>
      <c r="D397" s="20"/>
      <c r="E397" s="20"/>
      <c r="F397" s="20"/>
      <c r="G397" s="20"/>
      <c r="H397" s="20"/>
      <c r="I397" s="20"/>
      <c r="J397" s="20"/>
      <c r="Z397" s="20"/>
    </row>
    <row r="398">
      <c r="A398" s="20"/>
      <c r="B398" s="20"/>
      <c r="C398" s="20"/>
      <c r="D398" s="20"/>
      <c r="E398" s="20"/>
      <c r="F398" s="20"/>
      <c r="G398" s="20"/>
      <c r="H398" s="20"/>
      <c r="I398" s="20"/>
      <c r="J398" s="20"/>
      <c r="Z398" s="20"/>
    </row>
    <row r="399">
      <c r="A399" s="20"/>
      <c r="B399" s="20"/>
      <c r="C399" s="20"/>
      <c r="D399" s="20"/>
      <c r="E399" s="20"/>
      <c r="F399" s="20"/>
      <c r="G399" s="20"/>
      <c r="H399" s="20"/>
      <c r="I399" s="20"/>
      <c r="J399" s="20"/>
      <c r="Z399" s="20"/>
    </row>
    <row r="400">
      <c r="A400" s="20"/>
      <c r="B400" s="20"/>
      <c r="C400" s="20"/>
      <c r="D400" s="20"/>
      <c r="E400" s="20"/>
      <c r="F400" s="20"/>
      <c r="G400" s="20"/>
      <c r="H400" s="20"/>
      <c r="I400" s="20"/>
      <c r="J400" s="20"/>
      <c r="Z400" s="20"/>
    </row>
    <row r="401">
      <c r="A401" s="20"/>
      <c r="B401" s="20"/>
      <c r="C401" s="20"/>
      <c r="D401" s="20"/>
      <c r="E401" s="20"/>
      <c r="F401" s="20"/>
      <c r="G401" s="20"/>
      <c r="H401" s="20"/>
      <c r="I401" s="20"/>
      <c r="J401" s="20"/>
      <c r="Z401" s="20"/>
    </row>
    <row r="402">
      <c r="A402" s="20"/>
      <c r="B402" s="20"/>
      <c r="C402" s="20"/>
      <c r="D402" s="20"/>
      <c r="E402" s="20"/>
      <c r="F402" s="20"/>
      <c r="G402" s="20"/>
      <c r="H402" s="20"/>
      <c r="I402" s="20"/>
      <c r="J402" s="20"/>
      <c r="Z402" s="20"/>
    </row>
    <row r="403">
      <c r="A403" s="20"/>
      <c r="B403" s="20"/>
      <c r="C403" s="20"/>
      <c r="D403" s="20"/>
      <c r="E403" s="20"/>
      <c r="F403" s="20"/>
      <c r="G403" s="20"/>
      <c r="H403" s="20"/>
      <c r="I403" s="20"/>
      <c r="J403" s="20"/>
      <c r="Z403" s="20"/>
    </row>
    <row r="404">
      <c r="A404" s="20"/>
      <c r="B404" s="20"/>
      <c r="C404" s="20"/>
      <c r="D404" s="20"/>
      <c r="E404" s="20"/>
      <c r="F404" s="20"/>
      <c r="G404" s="20"/>
      <c r="H404" s="20"/>
      <c r="I404" s="20"/>
      <c r="J404" s="20"/>
      <c r="Z404" s="20"/>
    </row>
    <row r="405">
      <c r="A405" s="20"/>
      <c r="B405" s="20"/>
      <c r="C405" s="20"/>
      <c r="D405" s="20"/>
      <c r="E405" s="20"/>
      <c r="F405" s="20"/>
      <c r="G405" s="20"/>
      <c r="H405" s="20"/>
      <c r="I405" s="20"/>
      <c r="J405" s="20"/>
      <c r="Z405" s="20"/>
    </row>
    <row r="406">
      <c r="A406" s="20"/>
      <c r="B406" s="20"/>
      <c r="C406" s="20"/>
      <c r="D406" s="20"/>
      <c r="E406" s="20"/>
      <c r="F406" s="20"/>
      <c r="G406" s="20"/>
      <c r="H406" s="20"/>
      <c r="I406" s="20"/>
      <c r="J406" s="20"/>
      <c r="Z406" s="20"/>
    </row>
    <row r="407">
      <c r="A407" s="20"/>
      <c r="B407" s="20"/>
      <c r="C407" s="20"/>
      <c r="D407" s="20"/>
      <c r="E407" s="20"/>
      <c r="F407" s="20"/>
      <c r="G407" s="20"/>
      <c r="H407" s="20"/>
      <c r="I407" s="20"/>
      <c r="J407" s="20"/>
      <c r="Z407" s="20"/>
    </row>
    <row r="408">
      <c r="A408" s="20"/>
      <c r="B408" s="20"/>
      <c r="C408" s="20"/>
      <c r="D408" s="20"/>
      <c r="E408" s="20"/>
      <c r="F408" s="20"/>
      <c r="G408" s="20"/>
      <c r="H408" s="20"/>
      <c r="I408" s="20"/>
      <c r="J408" s="20"/>
      <c r="Z408" s="20"/>
    </row>
    <row r="409">
      <c r="A409" s="20"/>
      <c r="B409" s="20"/>
      <c r="C409" s="20"/>
      <c r="D409" s="20"/>
      <c r="E409" s="20"/>
      <c r="F409" s="20"/>
      <c r="G409" s="20"/>
      <c r="H409" s="20"/>
      <c r="I409" s="20"/>
      <c r="J409" s="20"/>
      <c r="Z409" s="20"/>
    </row>
    <row r="410">
      <c r="A410" s="20"/>
      <c r="B410" s="20"/>
      <c r="C410" s="20"/>
      <c r="D410" s="20"/>
      <c r="E410" s="20"/>
      <c r="F410" s="20"/>
      <c r="G410" s="20"/>
      <c r="H410" s="20"/>
      <c r="I410" s="20"/>
      <c r="J410" s="20"/>
      <c r="Z410" s="20"/>
    </row>
    <row r="411">
      <c r="A411" s="20"/>
      <c r="B411" s="20"/>
      <c r="C411" s="20"/>
      <c r="D411" s="20"/>
      <c r="E411" s="20"/>
      <c r="F411" s="20"/>
      <c r="G411" s="20"/>
      <c r="H411" s="20"/>
      <c r="I411" s="20"/>
      <c r="J411" s="20"/>
      <c r="Z411" s="20"/>
    </row>
    <row r="412">
      <c r="A412" s="20"/>
      <c r="B412" s="20"/>
      <c r="C412" s="20"/>
      <c r="D412" s="20"/>
      <c r="E412" s="20"/>
      <c r="F412" s="20"/>
      <c r="G412" s="20"/>
      <c r="H412" s="20"/>
      <c r="I412" s="20"/>
      <c r="J412" s="20"/>
      <c r="Z412" s="20"/>
    </row>
    <row r="413">
      <c r="A413" s="20"/>
      <c r="B413" s="20"/>
      <c r="C413" s="20"/>
      <c r="D413" s="20"/>
      <c r="E413" s="20"/>
      <c r="F413" s="20"/>
      <c r="G413" s="20"/>
      <c r="H413" s="20"/>
      <c r="I413" s="20"/>
      <c r="J413" s="20"/>
      <c r="Z413" s="20"/>
    </row>
    <row r="414">
      <c r="A414" s="20"/>
      <c r="B414" s="20"/>
      <c r="C414" s="20"/>
      <c r="D414" s="20"/>
      <c r="E414" s="20"/>
      <c r="F414" s="20"/>
      <c r="G414" s="20"/>
      <c r="H414" s="20"/>
      <c r="I414" s="20"/>
      <c r="J414" s="20"/>
      <c r="Z414" s="20"/>
    </row>
    <row r="415">
      <c r="A415" s="20"/>
      <c r="B415" s="20"/>
      <c r="C415" s="20"/>
      <c r="D415" s="20"/>
      <c r="E415" s="20"/>
      <c r="F415" s="20"/>
      <c r="G415" s="20"/>
      <c r="H415" s="20"/>
      <c r="I415" s="20"/>
      <c r="J415" s="20"/>
      <c r="Z415" s="20"/>
    </row>
    <row r="416">
      <c r="A416" s="20"/>
      <c r="B416" s="20"/>
      <c r="C416" s="20"/>
      <c r="D416" s="20"/>
      <c r="E416" s="20"/>
      <c r="F416" s="20"/>
      <c r="G416" s="20"/>
      <c r="H416" s="20"/>
      <c r="I416" s="20"/>
      <c r="J416" s="20"/>
      <c r="Z416" s="20"/>
    </row>
    <row r="417">
      <c r="A417" s="20"/>
      <c r="B417" s="20"/>
      <c r="C417" s="20"/>
      <c r="D417" s="20"/>
      <c r="E417" s="20"/>
      <c r="F417" s="20"/>
      <c r="G417" s="20"/>
      <c r="H417" s="20"/>
      <c r="I417" s="20"/>
      <c r="J417" s="20"/>
      <c r="Z417" s="20"/>
    </row>
    <row r="418">
      <c r="A418" s="20"/>
      <c r="B418" s="20"/>
      <c r="C418" s="20"/>
      <c r="D418" s="20"/>
      <c r="E418" s="20"/>
      <c r="F418" s="20"/>
      <c r="G418" s="20"/>
      <c r="H418" s="20"/>
      <c r="I418" s="20"/>
      <c r="J418" s="20"/>
      <c r="Z418" s="20"/>
    </row>
    <row r="419">
      <c r="A419" s="20"/>
      <c r="B419" s="20"/>
      <c r="C419" s="20"/>
      <c r="D419" s="20"/>
      <c r="E419" s="20"/>
      <c r="F419" s="20"/>
      <c r="G419" s="20"/>
      <c r="H419" s="20"/>
      <c r="I419" s="20"/>
      <c r="J419" s="20"/>
      <c r="Z419" s="20"/>
    </row>
    <row r="420">
      <c r="A420" s="20"/>
      <c r="B420" s="20"/>
      <c r="C420" s="20"/>
      <c r="D420" s="20"/>
      <c r="E420" s="20"/>
      <c r="F420" s="20"/>
      <c r="G420" s="20"/>
      <c r="H420" s="20"/>
      <c r="I420" s="20"/>
      <c r="J420" s="20"/>
      <c r="Z420" s="20"/>
    </row>
    <row r="421">
      <c r="A421" s="20"/>
      <c r="B421" s="20"/>
      <c r="C421" s="20"/>
      <c r="D421" s="20"/>
      <c r="E421" s="20"/>
      <c r="F421" s="20"/>
      <c r="G421" s="20"/>
      <c r="H421" s="20"/>
      <c r="I421" s="20"/>
      <c r="J421" s="20"/>
      <c r="Z421" s="20"/>
    </row>
    <row r="422">
      <c r="A422" s="20"/>
      <c r="B422" s="20"/>
      <c r="C422" s="20"/>
      <c r="D422" s="20"/>
      <c r="E422" s="20"/>
      <c r="F422" s="20"/>
      <c r="G422" s="20"/>
      <c r="H422" s="20"/>
      <c r="I422" s="20"/>
      <c r="J422" s="20"/>
      <c r="Z422" s="20"/>
    </row>
    <row r="423">
      <c r="A423" s="20"/>
      <c r="B423" s="20"/>
      <c r="C423" s="20"/>
      <c r="D423" s="20"/>
      <c r="E423" s="20"/>
      <c r="F423" s="20"/>
      <c r="G423" s="20"/>
      <c r="H423" s="20"/>
      <c r="I423" s="20"/>
      <c r="J423" s="20"/>
      <c r="Z423" s="20"/>
    </row>
    <row r="424">
      <c r="A424" s="20"/>
      <c r="B424" s="20"/>
      <c r="C424" s="20"/>
      <c r="D424" s="20"/>
      <c r="E424" s="20"/>
      <c r="F424" s="20"/>
      <c r="G424" s="20"/>
      <c r="H424" s="20"/>
      <c r="I424" s="20"/>
      <c r="J424" s="20"/>
      <c r="Z424" s="20"/>
    </row>
    <row r="425">
      <c r="A425" s="20"/>
      <c r="B425" s="20"/>
      <c r="C425" s="20"/>
      <c r="D425" s="20"/>
      <c r="E425" s="20"/>
      <c r="F425" s="20"/>
      <c r="G425" s="20"/>
      <c r="H425" s="20"/>
      <c r="I425" s="20"/>
      <c r="J425" s="20"/>
      <c r="Z425" s="20"/>
    </row>
    <row r="426">
      <c r="A426" s="20"/>
      <c r="B426" s="20"/>
      <c r="C426" s="20"/>
      <c r="D426" s="20"/>
      <c r="E426" s="20"/>
      <c r="F426" s="20"/>
      <c r="G426" s="20"/>
      <c r="H426" s="20"/>
      <c r="I426" s="20"/>
      <c r="J426" s="20"/>
      <c r="Z426" s="20"/>
    </row>
    <row r="427">
      <c r="A427" s="20"/>
      <c r="B427" s="20"/>
      <c r="C427" s="20"/>
      <c r="D427" s="20"/>
      <c r="E427" s="20"/>
      <c r="F427" s="20"/>
      <c r="G427" s="20"/>
      <c r="H427" s="20"/>
      <c r="I427" s="20"/>
      <c r="J427" s="20"/>
      <c r="Z427" s="20"/>
    </row>
    <row r="428">
      <c r="A428" s="20"/>
      <c r="B428" s="20"/>
      <c r="C428" s="20"/>
      <c r="D428" s="20"/>
      <c r="E428" s="20"/>
      <c r="F428" s="20"/>
      <c r="G428" s="20"/>
      <c r="H428" s="20"/>
      <c r="I428" s="20"/>
      <c r="J428" s="20"/>
      <c r="Z428" s="20"/>
    </row>
    <row r="429">
      <c r="A429" s="20"/>
      <c r="B429" s="20"/>
      <c r="C429" s="20"/>
      <c r="D429" s="20"/>
      <c r="E429" s="20"/>
      <c r="F429" s="20"/>
      <c r="G429" s="20"/>
      <c r="H429" s="20"/>
      <c r="I429" s="20"/>
      <c r="J429" s="20"/>
      <c r="Z429" s="20"/>
    </row>
    <row r="430">
      <c r="A430" s="20"/>
      <c r="B430" s="20"/>
      <c r="C430" s="20"/>
      <c r="D430" s="20"/>
      <c r="E430" s="20"/>
      <c r="F430" s="20"/>
      <c r="G430" s="20"/>
      <c r="H430" s="20"/>
      <c r="I430" s="20"/>
      <c r="J430" s="20"/>
      <c r="Z430" s="20"/>
    </row>
    <row r="431">
      <c r="A431" s="20"/>
      <c r="B431" s="20"/>
      <c r="C431" s="20"/>
      <c r="D431" s="20"/>
      <c r="E431" s="20"/>
      <c r="F431" s="20"/>
      <c r="G431" s="20"/>
      <c r="H431" s="20"/>
      <c r="I431" s="20"/>
      <c r="J431" s="20"/>
      <c r="Z431" s="20"/>
    </row>
    <row r="432">
      <c r="A432" s="20"/>
      <c r="B432" s="20"/>
      <c r="C432" s="20"/>
      <c r="D432" s="20"/>
      <c r="E432" s="20"/>
      <c r="F432" s="20"/>
      <c r="G432" s="20"/>
      <c r="H432" s="20"/>
      <c r="I432" s="20"/>
      <c r="J432" s="20"/>
      <c r="Z432" s="20"/>
    </row>
    <row r="433">
      <c r="A433" s="20"/>
      <c r="B433" s="20"/>
      <c r="C433" s="20"/>
      <c r="D433" s="20"/>
      <c r="E433" s="20"/>
      <c r="F433" s="20"/>
      <c r="G433" s="20"/>
      <c r="H433" s="20"/>
      <c r="I433" s="20"/>
      <c r="J433" s="20"/>
      <c r="Z433" s="20"/>
    </row>
    <row r="434">
      <c r="A434" s="20"/>
      <c r="B434" s="20"/>
      <c r="C434" s="20"/>
      <c r="D434" s="20"/>
      <c r="E434" s="20"/>
      <c r="F434" s="20"/>
      <c r="G434" s="20"/>
      <c r="H434" s="20"/>
      <c r="I434" s="20"/>
      <c r="J434" s="20"/>
      <c r="Z434" s="20"/>
    </row>
    <row r="435">
      <c r="A435" s="20"/>
      <c r="B435" s="20"/>
      <c r="C435" s="20"/>
      <c r="D435" s="20"/>
      <c r="E435" s="20"/>
      <c r="F435" s="20"/>
      <c r="G435" s="20"/>
      <c r="H435" s="20"/>
      <c r="I435" s="20"/>
      <c r="J435" s="20"/>
      <c r="Z435" s="20"/>
    </row>
    <row r="436">
      <c r="A436" s="20"/>
      <c r="B436" s="20"/>
      <c r="C436" s="20"/>
      <c r="D436" s="20"/>
      <c r="E436" s="20"/>
      <c r="F436" s="20"/>
      <c r="G436" s="20"/>
      <c r="H436" s="20"/>
      <c r="I436" s="20"/>
      <c r="J436" s="20"/>
      <c r="Z436" s="20"/>
    </row>
    <row r="437">
      <c r="A437" s="20"/>
      <c r="B437" s="20"/>
      <c r="C437" s="20"/>
      <c r="D437" s="20"/>
      <c r="E437" s="20"/>
      <c r="F437" s="20"/>
      <c r="G437" s="20"/>
      <c r="H437" s="20"/>
      <c r="I437" s="20"/>
      <c r="J437" s="20"/>
      <c r="Z437" s="20"/>
    </row>
    <row r="438">
      <c r="A438" s="20"/>
      <c r="B438" s="20"/>
      <c r="C438" s="20"/>
      <c r="D438" s="20"/>
      <c r="E438" s="20"/>
      <c r="F438" s="20"/>
      <c r="G438" s="20"/>
      <c r="H438" s="20"/>
      <c r="I438" s="20"/>
      <c r="J438" s="20"/>
      <c r="Z438" s="20"/>
    </row>
    <row r="439">
      <c r="A439" s="20"/>
      <c r="B439" s="20"/>
      <c r="C439" s="20"/>
      <c r="D439" s="20"/>
      <c r="E439" s="20"/>
      <c r="F439" s="20"/>
      <c r="G439" s="20"/>
      <c r="H439" s="20"/>
      <c r="I439" s="20"/>
      <c r="J439" s="20"/>
      <c r="Z439" s="20"/>
    </row>
    <row r="440">
      <c r="A440" s="20"/>
      <c r="B440" s="20"/>
      <c r="C440" s="20"/>
      <c r="D440" s="20"/>
      <c r="E440" s="20"/>
      <c r="F440" s="20"/>
      <c r="G440" s="20"/>
      <c r="H440" s="20"/>
      <c r="I440" s="20"/>
      <c r="J440" s="20"/>
      <c r="Z440" s="20"/>
    </row>
    <row r="441">
      <c r="A441" s="20"/>
      <c r="B441" s="20"/>
      <c r="C441" s="20"/>
      <c r="D441" s="20"/>
      <c r="E441" s="20"/>
      <c r="F441" s="20"/>
      <c r="G441" s="20"/>
      <c r="H441" s="20"/>
      <c r="I441" s="20"/>
      <c r="J441" s="20"/>
      <c r="Z441" s="20"/>
    </row>
    <row r="442">
      <c r="A442" s="20"/>
      <c r="B442" s="20"/>
      <c r="C442" s="20"/>
      <c r="D442" s="20"/>
      <c r="E442" s="20"/>
      <c r="F442" s="20"/>
      <c r="G442" s="20"/>
      <c r="H442" s="20"/>
      <c r="I442" s="20"/>
      <c r="J442" s="20"/>
      <c r="Z442" s="20"/>
    </row>
    <row r="443">
      <c r="A443" s="20"/>
      <c r="B443" s="20"/>
      <c r="C443" s="20"/>
      <c r="D443" s="20"/>
      <c r="E443" s="20"/>
      <c r="F443" s="20"/>
      <c r="G443" s="20"/>
      <c r="H443" s="20"/>
      <c r="I443" s="20"/>
      <c r="J443" s="20"/>
      <c r="Z443" s="20"/>
    </row>
    <row r="444">
      <c r="A444" s="20"/>
      <c r="B444" s="20"/>
      <c r="C444" s="20"/>
      <c r="D444" s="20"/>
      <c r="E444" s="20"/>
      <c r="F444" s="20"/>
      <c r="G444" s="20"/>
      <c r="H444" s="20"/>
      <c r="I444" s="20"/>
      <c r="J444" s="20"/>
      <c r="Z444" s="20"/>
    </row>
    <row r="445">
      <c r="A445" s="20"/>
      <c r="B445" s="20"/>
      <c r="C445" s="20"/>
      <c r="D445" s="20"/>
      <c r="E445" s="20"/>
      <c r="F445" s="20"/>
      <c r="G445" s="20"/>
      <c r="H445" s="20"/>
      <c r="I445" s="20"/>
      <c r="J445" s="20"/>
      <c r="Z445" s="20"/>
    </row>
    <row r="446">
      <c r="A446" s="20"/>
      <c r="B446" s="20"/>
      <c r="C446" s="20"/>
      <c r="D446" s="20"/>
      <c r="E446" s="20"/>
      <c r="F446" s="20"/>
      <c r="G446" s="20"/>
      <c r="H446" s="20"/>
      <c r="I446" s="20"/>
      <c r="J446" s="20"/>
      <c r="Z446" s="20"/>
    </row>
    <row r="447">
      <c r="A447" s="20"/>
      <c r="B447" s="20"/>
      <c r="C447" s="20"/>
      <c r="D447" s="20"/>
      <c r="E447" s="20"/>
      <c r="F447" s="20"/>
      <c r="G447" s="20"/>
      <c r="H447" s="20"/>
      <c r="I447" s="20"/>
      <c r="J447" s="20"/>
      <c r="Z447" s="20"/>
    </row>
    <row r="448">
      <c r="A448" s="20"/>
      <c r="B448" s="20"/>
      <c r="C448" s="20"/>
      <c r="D448" s="20"/>
      <c r="E448" s="20"/>
      <c r="F448" s="20"/>
      <c r="G448" s="20"/>
      <c r="H448" s="20"/>
      <c r="I448" s="20"/>
      <c r="J448" s="20"/>
      <c r="Z448" s="20"/>
    </row>
    <row r="449">
      <c r="A449" s="20"/>
      <c r="B449" s="20"/>
      <c r="C449" s="20"/>
      <c r="D449" s="20"/>
      <c r="E449" s="20"/>
      <c r="F449" s="20"/>
      <c r="G449" s="20"/>
      <c r="H449" s="20"/>
      <c r="I449" s="20"/>
      <c r="J449" s="20"/>
      <c r="Z449" s="20"/>
    </row>
    <row r="450">
      <c r="A450" s="20"/>
      <c r="B450" s="20"/>
      <c r="C450" s="20"/>
      <c r="D450" s="20"/>
      <c r="E450" s="20"/>
      <c r="F450" s="20"/>
      <c r="G450" s="20"/>
      <c r="H450" s="20"/>
      <c r="I450" s="20"/>
      <c r="J450" s="20"/>
      <c r="Z450" s="20"/>
    </row>
    <row r="451">
      <c r="A451" s="20"/>
      <c r="B451" s="20"/>
      <c r="C451" s="20"/>
      <c r="D451" s="20"/>
      <c r="E451" s="20"/>
      <c r="F451" s="20"/>
      <c r="G451" s="20"/>
      <c r="H451" s="20"/>
      <c r="I451" s="20"/>
      <c r="J451" s="20"/>
      <c r="Z451" s="20"/>
    </row>
    <row r="452">
      <c r="A452" s="20"/>
      <c r="B452" s="20"/>
      <c r="C452" s="20"/>
      <c r="D452" s="20"/>
      <c r="E452" s="20"/>
      <c r="F452" s="20"/>
      <c r="G452" s="20"/>
      <c r="H452" s="20"/>
      <c r="I452" s="20"/>
      <c r="J452" s="20"/>
      <c r="Z452" s="20"/>
    </row>
    <row r="453">
      <c r="A453" s="20"/>
      <c r="B453" s="20"/>
      <c r="C453" s="20"/>
      <c r="D453" s="20"/>
      <c r="E453" s="20"/>
      <c r="F453" s="20"/>
      <c r="G453" s="20"/>
      <c r="H453" s="20"/>
      <c r="I453" s="20"/>
      <c r="J453" s="20"/>
      <c r="Z453" s="20"/>
    </row>
    <row r="454">
      <c r="A454" s="20"/>
      <c r="B454" s="20"/>
      <c r="C454" s="20"/>
      <c r="D454" s="20"/>
      <c r="E454" s="20"/>
      <c r="F454" s="20"/>
      <c r="G454" s="20"/>
      <c r="H454" s="20"/>
      <c r="I454" s="20"/>
      <c r="J454" s="20"/>
      <c r="Z454" s="20"/>
    </row>
    <row r="455">
      <c r="A455" s="20"/>
      <c r="B455" s="20"/>
      <c r="C455" s="20"/>
      <c r="D455" s="20"/>
      <c r="E455" s="20"/>
      <c r="F455" s="20"/>
      <c r="G455" s="20"/>
      <c r="H455" s="20"/>
      <c r="I455" s="20"/>
      <c r="J455" s="20"/>
      <c r="Z455" s="20"/>
    </row>
    <row r="456">
      <c r="A456" s="20"/>
      <c r="B456" s="20"/>
      <c r="C456" s="20"/>
      <c r="D456" s="20"/>
      <c r="E456" s="20"/>
      <c r="F456" s="20"/>
      <c r="G456" s="20"/>
      <c r="H456" s="20"/>
      <c r="I456" s="20"/>
      <c r="J456" s="20"/>
      <c r="Z456" s="20"/>
    </row>
    <row r="457">
      <c r="A457" s="20"/>
      <c r="B457" s="20"/>
      <c r="C457" s="20"/>
      <c r="D457" s="20"/>
      <c r="E457" s="20"/>
      <c r="F457" s="20"/>
      <c r="G457" s="20"/>
      <c r="H457" s="20"/>
      <c r="I457" s="20"/>
      <c r="J457" s="20"/>
      <c r="Z457" s="20"/>
    </row>
    <row r="458">
      <c r="A458" s="20"/>
      <c r="B458" s="20"/>
      <c r="C458" s="20"/>
      <c r="D458" s="20"/>
      <c r="E458" s="20"/>
      <c r="F458" s="20"/>
      <c r="G458" s="20"/>
      <c r="H458" s="20"/>
      <c r="I458" s="20"/>
      <c r="J458" s="20"/>
      <c r="Z458" s="20"/>
    </row>
    <row r="459">
      <c r="A459" s="20"/>
      <c r="B459" s="20"/>
      <c r="C459" s="20"/>
      <c r="D459" s="20"/>
      <c r="E459" s="20"/>
      <c r="F459" s="20"/>
      <c r="G459" s="20"/>
      <c r="H459" s="20"/>
      <c r="I459" s="20"/>
      <c r="J459" s="20"/>
      <c r="Z459" s="20"/>
    </row>
    <row r="460">
      <c r="A460" s="20"/>
      <c r="B460" s="20"/>
      <c r="C460" s="20"/>
      <c r="D460" s="20"/>
      <c r="E460" s="20"/>
      <c r="F460" s="20"/>
      <c r="G460" s="20"/>
      <c r="H460" s="20"/>
      <c r="I460" s="20"/>
      <c r="J460" s="20"/>
      <c r="Z460" s="20"/>
    </row>
    <row r="461">
      <c r="A461" s="20"/>
      <c r="B461" s="20"/>
      <c r="C461" s="20"/>
      <c r="D461" s="20"/>
      <c r="E461" s="20"/>
      <c r="F461" s="20"/>
      <c r="G461" s="20"/>
      <c r="H461" s="20"/>
      <c r="I461" s="20"/>
      <c r="J461" s="20"/>
      <c r="Z461" s="20"/>
    </row>
    <row r="462">
      <c r="A462" s="20"/>
      <c r="B462" s="20"/>
      <c r="C462" s="20"/>
      <c r="D462" s="20"/>
      <c r="E462" s="20"/>
      <c r="F462" s="20"/>
      <c r="G462" s="20"/>
      <c r="H462" s="20"/>
      <c r="I462" s="20"/>
      <c r="J462" s="20"/>
      <c r="Z462" s="20"/>
    </row>
    <row r="463">
      <c r="A463" s="20"/>
      <c r="B463" s="20"/>
      <c r="C463" s="20"/>
      <c r="D463" s="20"/>
      <c r="E463" s="20"/>
      <c r="F463" s="20"/>
      <c r="G463" s="20"/>
      <c r="H463" s="20"/>
      <c r="I463" s="20"/>
      <c r="J463" s="20"/>
      <c r="Z463" s="20"/>
    </row>
    <row r="464">
      <c r="A464" s="20"/>
      <c r="B464" s="20"/>
      <c r="C464" s="20"/>
      <c r="D464" s="20"/>
      <c r="E464" s="20"/>
      <c r="F464" s="20"/>
      <c r="G464" s="20"/>
      <c r="H464" s="20"/>
      <c r="I464" s="20"/>
      <c r="J464" s="20"/>
      <c r="Z464" s="20"/>
    </row>
    <row r="465">
      <c r="A465" s="20"/>
      <c r="B465" s="20"/>
      <c r="C465" s="20"/>
      <c r="D465" s="20"/>
      <c r="E465" s="20"/>
      <c r="F465" s="20"/>
      <c r="G465" s="20"/>
      <c r="H465" s="20"/>
      <c r="I465" s="20"/>
      <c r="J465" s="20"/>
      <c r="Z465" s="20"/>
    </row>
    <row r="466">
      <c r="A466" s="20"/>
      <c r="B466" s="20"/>
      <c r="C466" s="20"/>
      <c r="D466" s="20"/>
      <c r="E466" s="20"/>
      <c r="F466" s="20"/>
      <c r="G466" s="20"/>
      <c r="H466" s="20"/>
      <c r="I466" s="20"/>
      <c r="J466" s="20"/>
      <c r="Z466" s="20"/>
    </row>
    <row r="467">
      <c r="A467" s="20"/>
      <c r="B467" s="20"/>
      <c r="C467" s="20"/>
      <c r="D467" s="20"/>
      <c r="E467" s="20"/>
      <c r="F467" s="20"/>
      <c r="G467" s="20"/>
      <c r="H467" s="20"/>
      <c r="I467" s="20"/>
      <c r="J467" s="20"/>
      <c r="Z467" s="20"/>
    </row>
    <row r="468">
      <c r="A468" s="20"/>
      <c r="B468" s="20"/>
      <c r="C468" s="20"/>
      <c r="D468" s="20"/>
      <c r="E468" s="20"/>
      <c r="F468" s="20"/>
      <c r="G468" s="20"/>
      <c r="H468" s="20"/>
      <c r="I468" s="20"/>
      <c r="J468" s="20"/>
      <c r="Z468" s="20"/>
    </row>
    <row r="469">
      <c r="A469" s="20"/>
      <c r="B469" s="20"/>
      <c r="C469" s="20"/>
      <c r="D469" s="20"/>
      <c r="E469" s="20"/>
      <c r="F469" s="20"/>
      <c r="G469" s="20"/>
      <c r="H469" s="20"/>
      <c r="I469" s="20"/>
      <c r="J469" s="20"/>
      <c r="Z469" s="20"/>
    </row>
    <row r="470">
      <c r="A470" s="20"/>
      <c r="B470" s="20"/>
      <c r="C470" s="20"/>
      <c r="D470" s="20"/>
      <c r="E470" s="20"/>
      <c r="F470" s="20"/>
      <c r="G470" s="20"/>
      <c r="H470" s="20"/>
      <c r="I470" s="20"/>
      <c r="J470" s="20"/>
      <c r="Z470" s="20"/>
    </row>
    <row r="471">
      <c r="A471" s="20"/>
      <c r="B471" s="20"/>
      <c r="C471" s="20"/>
      <c r="D471" s="20"/>
      <c r="E471" s="20"/>
      <c r="F471" s="20"/>
      <c r="G471" s="20"/>
      <c r="H471" s="20"/>
      <c r="I471" s="20"/>
      <c r="J471" s="20"/>
      <c r="Z471" s="20"/>
    </row>
    <row r="472">
      <c r="A472" s="20"/>
      <c r="B472" s="20"/>
      <c r="C472" s="20"/>
      <c r="D472" s="20"/>
      <c r="E472" s="20"/>
      <c r="F472" s="20"/>
      <c r="G472" s="20"/>
      <c r="H472" s="20"/>
      <c r="I472" s="20"/>
      <c r="J472" s="20"/>
      <c r="Z472" s="20"/>
    </row>
    <row r="473">
      <c r="A473" s="20"/>
      <c r="B473" s="20"/>
      <c r="C473" s="20"/>
      <c r="D473" s="20"/>
      <c r="E473" s="20"/>
      <c r="F473" s="20"/>
      <c r="G473" s="20"/>
      <c r="H473" s="20"/>
      <c r="I473" s="20"/>
      <c r="J473" s="20"/>
      <c r="Z473" s="20"/>
    </row>
    <row r="474">
      <c r="A474" s="20"/>
      <c r="B474" s="20"/>
      <c r="C474" s="20"/>
      <c r="D474" s="20"/>
      <c r="E474" s="20"/>
      <c r="F474" s="20"/>
      <c r="G474" s="20"/>
      <c r="H474" s="20"/>
      <c r="I474" s="20"/>
      <c r="J474" s="20"/>
      <c r="Z474" s="20"/>
    </row>
    <row r="475">
      <c r="A475" s="20"/>
      <c r="B475" s="20"/>
      <c r="C475" s="20"/>
      <c r="D475" s="20"/>
      <c r="E475" s="20"/>
      <c r="F475" s="20"/>
      <c r="G475" s="20"/>
      <c r="H475" s="20"/>
      <c r="I475" s="20"/>
      <c r="J475" s="20"/>
      <c r="Z475" s="20"/>
    </row>
    <row r="476">
      <c r="A476" s="20"/>
      <c r="B476" s="20"/>
      <c r="C476" s="20"/>
      <c r="D476" s="20"/>
      <c r="E476" s="20"/>
      <c r="F476" s="20"/>
      <c r="G476" s="20"/>
      <c r="H476" s="20"/>
      <c r="I476" s="20"/>
      <c r="J476" s="20"/>
      <c r="Z476" s="20"/>
    </row>
    <row r="477">
      <c r="A477" s="20"/>
      <c r="B477" s="20"/>
      <c r="C477" s="20"/>
      <c r="D477" s="20"/>
      <c r="E477" s="20"/>
      <c r="F477" s="20"/>
      <c r="G477" s="20"/>
      <c r="H477" s="20"/>
      <c r="I477" s="20"/>
      <c r="J477" s="20"/>
      <c r="Z477" s="20"/>
    </row>
    <row r="478">
      <c r="A478" s="20"/>
      <c r="B478" s="20"/>
      <c r="C478" s="20"/>
      <c r="D478" s="20"/>
      <c r="E478" s="20"/>
      <c r="F478" s="20"/>
      <c r="G478" s="20"/>
      <c r="H478" s="20"/>
      <c r="I478" s="20"/>
      <c r="J478" s="20"/>
      <c r="Z478" s="20"/>
    </row>
    <row r="479">
      <c r="A479" s="20"/>
      <c r="B479" s="20"/>
      <c r="C479" s="20"/>
      <c r="D479" s="20"/>
      <c r="E479" s="20"/>
      <c r="F479" s="20"/>
      <c r="G479" s="20"/>
      <c r="H479" s="20"/>
      <c r="I479" s="20"/>
      <c r="J479" s="20"/>
      <c r="Z479" s="20"/>
    </row>
    <row r="480">
      <c r="A480" s="20"/>
      <c r="B480" s="20"/>
      <c r="C480" s="20"/>
      <c r="D480" s="20"/>
      <c r="E480" s="20"/>
      <c r="F480" s="20"/>
      <c r="G480" s="20"/>
      <c r="H480" s="20"/>
      <c r="I480" s="20"/>
      <c r="J480" s="20"/>
      <c r="Z480" s="20"/>
    </row>
    <row r="481">
      <c r="A481" s="20"/>
      <c r="B481" s="20"/>
      <c r="C481" s="20"/>
      <c r="D481" s="20"/>
      <c r="E481" s="20"/>
      <c r="F481" s="20"/>
      <c r="G481" s="20"/>
      <c r="H481" s="20"/>
      <c r="I481" s="20"/>
      <c r="J481" s="20"/>
      <c r="Z481" s="20"/>
    </row>
    <row r="482">
      <c r="A482" s="20"/>
      <c r="B482" s="20"/>
      <c r="C482" s="20"/>
      <c r="D482" s="20"/>
      <c r="E482" s="20"/>
      <c r="F482" s="20"/>
      <c r="G482" s="20"/>
      <c r="H482" s="20"/>
      <c r="I482" s="20"/>
      <c r="J482" s="20"/>
      <c r="Z482" s="20"/>
    </row>
    <row r="483">
      <c r="A483" s="20"/>
      <c r="B483" s="20"/>
      <c r="C483" s="20"/>
      <c r="D483" s="20"/>
      <c r="E483" s="20"/>
      <c r="F483" s="20"/>
      <c r="G483" s="20"/>
      <c r="H483" s="20"/>
      <c r="I483" s="20"/>
      <c r="J483" s="20"/>
      <c r="Z483" s="20"/>
    </row>
    <row r="484">
      <c r="A484" s="20"/>
      <c r="B484" s="20"/>
      <c r="C484" s="20"/>
      <c r="D484" s="20"/>
      <c r="E484" s="20"/>
      <c r="F484" s="20"/>
      <c r="G484" s="20"/>
      <c r="H484" s="20"/>
      <c r="I484" s="20"/>
      <c r="J484" s="20"/>
      <c r="Z484" s="20"/>
    </row>
    <row r="485">
      <c r="A485" s="20"/>
      <c r="B485" s="20"/>
      <c r="C485" s="20"/>
      <c r="D485" s="20"/>
      <c r="E485" s="20"/>
      <c r="F485" s="20"/>
      <c r="G485" s="20"/>
      <c r="H485" s="20"/>
      <c r="I485" s="20"/>
      <c r="J485" s="20"/>
      <c r="Z485" s="20"/>
    </row>
    <row r="486">
      <c r="A486" s="20"/>
      <c r="B486" s="20"/>
      <c r="C486" s="20"/>
      <c r="D486" s="20"/>
      <c r="E486" s="20"/>
      <c r="F486" s="20"/>
      <c r="G486" s="20"/>
      <c r="H486" s="20"/>
      <c r="I486" s="20"/>
      <c r="J486" s="20"/>
      <c r="Z486" s="20"/>
    </row>
    <row r="487">
      <c r="A487" s="20"/>
      <c r="B487" s="20"/>
      <c r="C487" s="20"/>
      <c r="D487" s="20"/>
      <c r="E487" s="20"/>
      <c r="F487" s="20"/>
      <c r="G487" s="20"/>
      <c r="H487" s="20"/>
      <c r="I487" s="20"/>
      <c r="J487" s="20"/>
      <c r="Z487" s="20"/>
    </row>
    <row r="488">
      <c r="A488" s="20"/>
      <c r="B488" s="20"/>
      <c r="C488" s="20"/>
      <c r="D488" s="20"/>
      <c r="E488" s="20"/>
      <c r="F488" s="20"/>
      <c r="G488" s="20"/>
      <c r="H488" s="20"/>
      <c r="I488" s="20"/>
      <c r="J488" s="20"/>
      <c r="Z488" s="20"/>
    </row>
    <row r="489">
      <c r="A489" s="20"/>
      <c r="B489" s="20"/>
      <c r="C489" s="20"/>
      <c r="D489" s="20"/>
      <c r="E489" s="20"/>
      <c r="F489" s="20"/>
      <c r="G489" s="20"/>
      <c r="H489" s="20"/>
      <c r="I489" s="20"/>
      <c r="J489" s="20"/>
      <c r="Z489" s="20"/>
    </row>
    <row r="490">
      <c r="A490" s="20"/>
      <c r="B490" s="20"/>
      <c r="C490" s="20"/>
      <c r="D490" s="20"/>
      <c r="E490" s="20"/>
      <c r="F490" s="20"/>
      <c r="G490" s="20"/>
      <c r="H490" s="20"/>
      <c r="I490" s="20"/>
      <c r="J490" s="20"/>
      <c r="Z490" s="20"/>
    </row>
    <row r="491">
      <c r="A491" s="20"/>
      <c r="B491" s="20"/>
      <c r="C491" s="20"/>
      <c r="D491" s="20"/>
      <c r="E491" s="20"/>
      <c r="F491" s="20"/>
      <c r="G491" s="20"/>
      <c r="H491" s="20"/>
      <c r="I491" s="20"/>
      <c r="J491" s="20"/>
      <c r="Z491" s="20"/>
    </row>
    <row r="492">
      <c r="A492" s="20"/>
      <c r="B492" s="20"/>
      <c r="C492" s="20"/>
      <c r="D492" s="20"/>
      <c r="E492" s="20"/>
      <c r="F492" s="20"/>
      <c r="G492" s="20"/>
      <c r="H492" s="20"/>
      <c r="I492" s="20"/>
      <c r="J492" s="20"/>
      <c r="Z492" s="20"/>
    </row>
    <row r="493">
      <c r="A493" s="20"/>
      <c r="B493" s="20"/>
      <c r="C493" s="20"/>
      <c r="D493" s="20"/>
      <c r="E493" s="20"/>
      <c r="F493" s="20"/>
      <c r="G493" s="20"/>
      <c r="H493" s="20"/>
      <c r="I493" s="20"/>
      <c r="J493" s="20"/>
      <c r="Z493" s="20"/>
    </row>
    <row r="494">
      <c r="A494" s="20"/>
      <c r="B494" s="20"/>
      <c r="C494" s="20"/>
      <c r="D494" s="20"/>
      <c r="E494" s="20"/>
      <c r="F494" s="20"/>
      <c r="G494" s="20"/>
      <c r="H494" s="20"/>
      <c r="I494" s="20"/>
      <c r="J494" s="20"/>
      <c r="Z494" s="20"/>
    </row>
    <row r="495">
      <c r="A495" s="20"/>
      <c r="B495" s="20"/>
      <c r="C495" s="20"/>
      <c r="D495" s="20"/>
      <c r="E495" s="20"/>
      <c r="F495" s="20"/>
      <c r="G495" s="20"/>
      <c r="H495" s="20"/>
      <c r="I495" s="20"/>
      <c r="J495" s="20"/>
      <c r="Z495" s="20"/>
    </row>
    <row r="496">
      <c r="A496" s="20"/>
      <c r="B496" s="20"/>
      <c r="C496" s="20"/>
      <c r="D496" s="20"/>
      <c r="E496" s="20"/>
      <c r="F496" s="20"/>
      <c r="G496" s="20"/>
      <c r="H496" s="20"/>
      <c r="I496" s="20"/>
      <c r="J496" s="20"/>
      <c r="Z496" s="20"/>
    </row>
    <row r="497">
      <c r="A497" s="20"/>
      <c r="B497" s="20"/>
      <c r="C497" s="20"/>
      <c r="D497" s="20"/>
      <c r="E497" s="20"/>
      <c r="F497" s="20"/>
      <c r="G497" s="20"/>
      <c r="H497" s="20"/>
      <c r="I497" s="20"/>
      <c r="J497" s="20"/>
      <c r="Z497" s="20"/>
    </row>
    <row r="498">
      <c r="A498" s="20"/>
      <c r="B498" s="20"/>
      <c r="C498" s="20"/>
      <c r="D498" s="20"/>
      <c r="E498" s="20"/>
      <c r="F498" s="20"/>
      <c r="G498" s="20"/>
      <c r="H498" s="20"/>
      <c r="I498" s="20"/>
      <c r="J498" s="20"/>
      <c r="Z498" s="20"/>
    </row>
    <row r="499">
      <c r="A499" s="20"/>
      <c r="B499" s="20"/>
      <c r="C499" s="20"/>
      <c r="D499" s="20"/>
      <c r="E499" s="20"/>
      <c r="F499" s="20"/>
      <c r="G499" s="20"/>
      <c r="H499" s="20"/>
      <c r="I499" s="20"/>
      <c r="J499" s="20"/>
      <c r="Z499" s="20"/>
    </row>
    <row r="500">
      <c r="A500" s="20"/>
      <c r="B500" s="20"/>
      <c r="C500" s="20"/>
      <c r="D500" s="20"/>
      <c r="E500" s="20"/>
      <c r="F500" s="20"/>
      <c r="G500" s="20"/>
      <c r="H500" s="20"/>
      <c r="I500" s="20"/>
      <c r="J500" s="20"/>
      <c r="Z500" s="20"/>
    </row>
    <row r="501">
      <c r="A501" s="20"/>
      <c r="B501" s="20"/>
      <c r="C501" s="20"/>
      <c r="D501" s="20"/>
      <c r="E501" s="20"/>
      <c r="F501" s="20"/>
      <c r="G501" s="20"/>
      <c r="H501" s="20"/>
      <c r="I501" s="20"/>
      <c r="J501" s="20"/>
      <c r="Z501" s="20"/>
    </row>
    <row r="502">
      <c r="A502" s="20"/>
      <c r="B502" s="20"/>
      <c r="C502" s="20"/>
      <c r="D502" s="20"/>
      <c r="E502" s="20"/>
      <c r="F502" s="20"/>
      <c r="G502" s="20"/>
      <c r="H502" s="20"/>
      <c r="I502" s="20"/>
      <c r="J502" s="20"/>
      <c r="Z502" s="20"/>
    </row>
    <row r="503">
      <c r="A503" s="20"/>
      <c r="B503" s="20"/>
      <c r="C503" s="20"/>
      <c r="D503" s="20"/>
      <c r="E503" s="20"/>
      <c r="F503" s="20"/>
      <c r="G503" s="20"/>
      <c r="H503" s="20"/>
      <c r="I503" s="20"/>
      <c r="J503" s="20"/>
      <c r="Z503" s="20"/>
    </row>
    <row r="504">
      <c r="A504" s="20"/>
      <c r="B504" s="20"/>
      <c r="C504" s="20"/>
      <c r="D504" s="20"/>
      <c r="E504" s="20"/>
      <c r="F504" s="20"/>
      <c r="G504" s="20"/>
      <c r="H504" s="20"/>
      <c r="I504" s="20"/>
      <c r="J504" s="20"/>
      <c r="Z504" s="20"/>
    </row>
    <row r="505">
      <c r="A505" s="20"/>
      <c r="B505" s="20"/>
      <c r="C505" s="20"/>
      <c r="D505" s="20"/>
      <c r="E505" s="20"/>
      <c r="F505" s="20"/>
      <c r="G505" s="20"/>
      <c r="H505" s="20"/>
      <c r="I505" s="20"/>
      <c r="J505" s="20"/>
      <c r="Z505" s="20"/>
    </row>
    <row r="506">
      <c r="A506" s="20"/>
      <c r="B506" s="20"/>
      <c r="C506" s="20"/>
      <c r="D506" s="20"/>
      <c r="E506" s="20"/>
      <c r="F506" s="20"/>
      <c r="G506" s="20"/>
      <c r="H506" s="20"/>
      <c r="I506" s="20"/>
      <c r="J506" s="20"/>
      <c r="Z506" s="20"/>
    </row>
    <row r="507">
      <c r="A507" s="20"/>
      <c r="B507" s="20"/>
      <c r="C507" s="20"/>
      <c r="D507" s="20"/>
      <c r="E507" s="20"/>
      <c r="F507" s="20"/>
      <c r="G507" s="20"/>
      <c r="H507" s="20"/>
      <c r="I507" s="20"/>
      <c r="J507" s="20"/>
      <c r="Z507" s="20"/>
    </row>
    <row r="508">
      <c r="A508" s="20"/>
      <c r="B508" s="20"/>
      <c r="C508" s="20"/>
      <c r="D508" s="20"/>
      <c r="E508" s="20"/>
      <c r="F508" s="20"/>
      <c r="G508" s="20"/>
      <c r="H508" s="20"/>
      <c r="I508" s="20"/>
      <c r="J508" s="20"/>
      <c r="Z508" s="20"/>
    </row>
    <row r="509">
      <c r="A509" s="20"/>
      <c r="B509" s="20"/>
      <c r="C509" s="20"/>
      <c r="D509" s="20"/>
      <c r="E509" s="20"/>
      <c r="F509" s="20"/>
      <c r="G509" s="20"/>
      <c r="H509" s="20"/>
      <c r="I509" s="20"/>
      <c r="J509" s="20"/>
      <c r="Z509" s="20"/>
    </row>
    <row r="510">
      <c r="A510" s="20"/>
      <c r="B510" s="20"/>
      <c r="C510" s="20"/>
      <c r="D510" s="20"/>
      <c r="E510" s="20"/>
      <c r="F510" s="20"/>
      <c r="G510" s="20"/>
      <c r="H510" s="20"/>
      <c r="I510" s="20"/>
      <c r="J510" s="20"/>
      <c r="Z510" s="20"/>
    </row>
    <row r="511">
      <c r="A511" s="20"/>
      <c r="B511" s="20"/>
      <c r="C511" s="20"/>
      <c r="D511" s="20"/>
      <c r="E511" s="20"/>
      <c r="F511" s="20"/>
      <c r="G511" s="20"/>
      <c r="H511" s="20"/>
      <c r="I511" s="20"/>
      <c r="J511" s="20"/>
      <c r="Z511" s="20"/>
    </row>
    <row r="512">
      <c r="A512" s="20"/>
      <c r="B512" s="20"/>
      <c r="C512" s="20"/>
      <c r="D512" s="20"/>
      <c r="E512" s="20"/>
      <c r="F512" s="20"/>
      <c r="G512" s="20"/>
      <c r="H512" s="20"/>
      <c r="I512" s="20"/>
      <c r="J512" s="20"/>
      <c r="Z512" s="20"/>
    </row>
    <row r="513">
      <c r="A513" s="20"/>
      <c r="B513" s="20"/>
      <c r="C513" s="20"/>
      <c r="D513" s="20"/>
      <c r="E513" s="20"/>
      <c r="F513" s="20"/>
      <c r="G513" s="20"/>
      <c r="H513" s="20"/>
      <c r="I513" s="20"/>
      <c r="J513" s="20"/>
      <c r="Z513" s="20"/>
    </row>
    <row r="514">
      <c r="A514" s="20"/>
      <c r="B514" s="20"/>
      <c r="C514" s="20"/>
      <c r="D514" s="20"/>
      <c r="E514" s="20"/>
      <c r="F514" s="20"/>
      <c r="G514" s="20"/>
      <c r="H514" s="20"/>
      <c r="I514" s="20"/>
      <c r="J514" s="20"/>
      <c r="Z514" s="20"/>
    </row>
    <row r="515">
      <c r="A515" s="20"/>
      <c r="B515" s="20"/>
      <c r="C515" s="20"/>
      <c r="D515" s="20"/>
      <c r="E515" s="20"/>
      <c r="F515" s="20"/>
      <c r="G515" s="20"/>
      <c r="H515" s="20"/>
      <c r="I515" s="20"/>
      <c r="J515" s="20"/>
      <c r="Z515" s="20"/>
    </row>
    <row r="516">
      <c r="A516" s="20"/>
      <c r="B516" s="20"/>
      <c r="C516" s="20"/>
      <c r="D516" s="20"/>
      <c r="E516" s="20"/>
      <c r="F516" s="20"/>
      <c r="G516" s="20"/>
      <c r="H516" s="20"/>
      <c r="I516" s="20"/>
      <c r="J516" s="20"/>
      <c r="Z516" s="20"/>
    </row>
    <row r="517">
      <c r="A517" s="20"/>
      <c r="B517" s="20"/>
      <c r="C517" s="20"/>
      <c r="D517" s="20"/>
      <c r="E517" s="20"/>
      <c r="F517" s="20"/>
      <c r="G517" s="20"/>
      <c r="H517" s="20"/>
      <c r="I517" s="20"/>
      <c r="J517" s="20"/>
      <c r="Z517" s="20"/>
    </row>
    <row r="518">
      <c r="A518" s="20"/>
      <c r="B518" s="20"/>
      <c r="C518" s="20"/>
      <c r="D518" s="20"/>
      <c r="E518" s="20"/>
      <c r="F518" s="20"/>
      <c r="G518" s="20"/>
      <c r="H518" s="20"/>
      <c r="I518" s="20"/>
      <c r="J518" s="20"/>
      <c r="Z518" s="20"/>
    </row>
    <row r="519">
      <c r="A519" s="20"/>
      <c r="B519" s="20"/>
      <c r="C519" s="20"/>
      <c r="D519" s="20"/>
      <c r="E519" s="20"/>
      <c r="F519" s="20"/>
      <c r="G519" s="20"/>
      <c r="H519" s="20"/>
      <c r="I519" s="20"/>
      <c r="J519" s="20"/>
      <c r="Z519" s="20"/>
    </row>
    <row r="520">
      <c r="A520" s="20"/>
      <c r="B520" s="20"/>
      <c r="C520" s="20"/>
      <c r="D520" s="20"/>
      <c r="E520" s="20"/>
      <c r="F520" s="20"/>
      <c r="G520" s="20"/>
      <c r="H520" s="20"/>
      <c r="I520" s="20"/>
      <c r="J520" s="20"/>
      <c r="Z520" s="20"/>
    </row>
    <row r="521">
      <c r="A521" s="20"/>
      <c r="B521" s="20"/>
      <c r="C521" s="20"/>
      <c r="D521" s="20"/>
      <c r="E521" s="20"/>
      <c r="F521" s="20"/>
      <c r="G521" s="20"/>
      <c r="H521" s="20"/>
      <c r="I521" s="20"/>
      <c r="J521" s="20"/>
      <c r="Z521" s="20"/>
    </row>
    <row r="522">
      <c r="A522" s="20"/>
      <c r="B522" s="20"/>
      <c r="C522" s="20"/>
      <c r="D522" s="20"/>
      <c r="E522" s="20"/>
      <c r="F522" s="20"/>
      <c r="G522" s="20"/>
      <c r="H522" s="20"/>
      <c r="I522" s="20"/>
      <c r="J522" s="20"/>
      <c r="Z522" s="20"/>
    </row>
    <row r="523">
      <c r="A523" s="20"/>
      <c r="B523" s="20"/>
      <c r="C523" s="20"/>
      <c r="D523" s="20"/>
      <c r="E523" s="20"/>
      <c r="F523" s="20"/>
      <c r="G523" s="20"/>
      <c r="H523" s="20"/>
      <c r="I523" s="20"/>
      <c r="J523" s="20"/>
      <c r="Z523" s="20"/>
    </row>
    <row r="524">
      <c r="A524" s="20"/>
      <c r="B524" s="20"/>
      <c r="C524" s="20"/>
      <c r="D524" s="20"/>
      <c r="E524" s="20"/>
      <c r="F524" s="20"/>
      <c r="G524" s="20"/>
      <c r="H524" s="20"/>
      <c r="I524" s="20"/>
      <c r="J524" s="20"/>
      <c r="Z524" s="20"/>
    </row>
    <row r="525">
      <c r="A525" s="20"/>
      <c r="B525" s="20"/>
      <c r="C525" s="20"/>
      <c r="D525" s="20"/>
      <c r="E525" s="20"/>
      <c r="F525" s="20"/>
      <c r="G525" s="20"/>
      <c r="H525" s="20"/>
      <c r="I525" s="20"/>
      <c r="J525" s="20"/>
      <c r="Z525" s="20"/>
    </row>
    <row r="526">
      <c r="A526" s="20"/>
      <c r="B526" s="20"/>
      <c r="C526" s="20"/>
      <c r="D526" s="20"/>
      <c r="E526" s="20"/>
      <c r="F526" s="20"/>
      <c r="G526" s="20"/>
      <c r="H526" s="20"/>
      <c r="I526" s="20"/>
      <c r="J526" s="20"/>
      <c r="Z526" s="20"/>
    </row>
    <row r="527">
      <c r="A527" s="20"/>
      <c r="B527" s="20"/>
      <c r="C527" s="20"/>
      <c r="D527" s="20"/>
      <c r="E527" s="20"/>
      <c r="F527" s="20"/>
      <c r="G527" s="20"/>
      <c r="H527" s="20"/>
      <c r="I527" s="20"/>
      <c r="J527" s="20"/>
      <c r="Z527" s="20"/>
    </row>
    <row r="528">
      <c r="A528" s="20"/>
      <c r="B528" s="20"/>
      <c r="C528" s="20"/>
      <c r="D528" s="20"/>
      <c r="E528" s="20"/>
      <c r="F528" s="20"/>
      <c r="G528" s="20"/>
      <c r="H528" s="20"/>
      <c r="I528" s="20"/>
      <c r="J528" s="20"/>
      <c r="Z528" s="20"/>
    </row>
    <row r="529">
      <c r="A529" s="20"/>
      <c r="B529" s="20"/>
      <c r="C529" s="20"/>
      <c r="D529" s="20"/>
      <c r="E529" s="20"/>
      <c r="F529" s="20"/>
      <c r="G529" s="20"/>
      <c r="H529" s="20"/>
      <c r="I529" s="20"/>
      <c r="J529" s="20"/>
      <c r="Z529" s="20"/>
    </row>
    <row r="530">
      <c r="A530" s="20"/>
      <c r="B530" s="20"/>
      <c r="C530" s="20"/>
      <c r="D530" s="20"/>
      <c r="E530" s="20"/>
      <c r="F530" s="20"/>
      <c r="G530" s="20"/>
      <c r="H530" s="20"/>
      <c r="I530" s="20"/>
      <c r="J530" s="20"/>
      <c r="Z530" s="20"/>
    </row>
    <row r="531">
      <c r="A531" s="20"/>
      <c r="B531" s="20"/>
      <c r="C531" s="20"/>
      <c r="D531" s="20"/>
      <c r="E531" s="20"/>
      <c r="F531" s="20"/>
      <c r="G531" s="20"/>
      <c r="H531" s="20"/>
      <c r="I531" s="20"/>
      <c r="J531" s="20"/>
      <c r="Z531" s="20"/>
    </row>
    <row r="532">
      <c r="A532" s="20"/>
      <c r="B532" s="20"/>
      <c r="C532" s="20"/>
      <c r="D532" s="20"/>
      <c r="E532" s="20"/>
      <c r="F532" s="20"/>
      <c r="G532" s="20"/>
      <c r="H532" s="20"/>
      <c r="I532" s="20"/>
      <c r="J532" s="20"/>
      <c r="Z532" s="20"/>
    </row>
    <row r="533">
      <c r="A533" s="20"/>
      <c r="B533" s="20"/>
      <c r="C533" s="20"/>
      <c r="D533" s="20"/>
      <c r="E533" s="20"/>
      <c r="F533" s="20"/>
      <c r="G533" s="20"/>
      <c r="H533" s="20"/>
      <c r="I533" s="20"/>
      <c r="J533" s="20"/>
      <c r="Z533" s="20"/>
    </row>
    <row r="534">
      <c r="A534" s="20"/>
      <c r="B534" s="20"/>
      <c r="C534" s="20"/>
      <c r="D534" s="20"/>
      <c r="E534" s="20"/>
      <c r="F534" s="20"/>
      <c r="G534" s="20"/>
      <c r="H534" s="20"/>
      <c r="I534" s="20"/>
      <c r="J534" s="20"/>
      <c r="Z534" s="20"/>
    </row>
    <row r="535">
      <c r="A535" s="20"/>
      <c r="B535" s="20"/>
      <c r="C535" s="20"/>
      <c r="D535" s="20"/>
      <c r="E535" s="20"/>
      <c r="F535" s="20"/>
      <c r="G535" s="20"/>
      <c r="H535" s="20"/>
      <c r="I535" s="20"/>
      <c r="J535" s="20"/>
      <c r="Z535" s="20"/>
    </row>
    <row r="536">
      <c r="A536" s="20"/>
      <c r="B536" s="20"/>
      <c r="C536" s="20"/>
      <c r="D536" s="20"/>
      <c r="E536" s="20"/>
      <c r="F536" s="20"/>
      <c r="G536" s="20"/>
      <c r="H536" s="20"/>
      <c r="I536" s="20"/>
      <c r="J536" s="20"/>
      <c r="Z536" s="20"/>
    </row>
    <row r="537">
      <c r="A537" s="20"/>
      <c r="B537" s="20"/>
      <c r="C537" s="20"/>
      <c r="D537" s="20"/>
      <c r="E537" s="20"/>
      <c r="F537" s="20"/>
      <c r="G537" s="20"/>
      <c r="H537" s="20"/>
      <c r="I537" s="20"/>
      <c r="J537" s="20"/>
      <c r="Z537" s="20"/>
    </row>
    <row r="538">
      <c r="A538" s="20"/>
      <c r="B538" s="20"/>
      <c r="C538" s="20"/>
      <c r="D538" s="20"/>
      <c r="E538" s="20"/>
      <c r="F538" s="20"/>
      <c r="G538" s="20"/>
      <c r="H538" s="20"/>
      <c r="I538" s="20"/>
      <c r="J538" s="20"/>
      <c r="Z538" s="20"/>
    </row>
    <row r="539">
      <c r="A539" s="20"/>
      <c r="B539" s="20"/>
      <c r="C539" s="20"/>
      <c r="D539" s="20"/>
      <c r="E539" s="20"/>
      <c r="F539" s="20"/>
      <c r="G539" s="20"/>
      <c r="H539" s="20"/>
      <c r="I539" s="20"/>
      <c r="J539" s="20"/>
      <c r="Z539" s="20"/>
    </row>
    <row r="540">
      <c r="A540" s="20"/>
      <c r="B540" s="20"/>
      <c r="C540" s="20"/>
      <c r="D540" s="20"/>
      <c r="E540" s="20"/>
      <c r="F540" s="20"/>
      <c r="G540" s="20"/>
      <c r="H540" s="20"/>
      <c r="I540" s="20"/>
      <c r="J540" s="20"/>
      <c r="Z540" s="20"/>
    </row>
    <row r="541">
      <c r="A541" s="20"/>
      <c r="B541" s="20"/>
      <c r="C541" s="20"/>
      <c r="D541" s="20"/>
      <c r="E541" s="20"/>
      <c r="F541" s="20"/>
      <c r="G541" s="20"/>
      <c r="H541" s="20"/>
      <c r="I541" s="20"/>
      <c r="J541" s="20"/>
      <c r="Z541" s="20"/>
    </row>
    <row r="542">
      <c r="A542" s="20"/>
      <c r="B542" s="20"/>
      <c r="C542" s="20"/>
      <c r="D542" s="20"/>
      <c r="E542" s="20"/>
      <c r="F542" s="20"/>
      <c r="G542" s="20"/>
      <c r="H542" s="20"/>
      <c r="I542" s="20"/>
      <c r="J542" s="20"/>
      <c r="Z542" s="20"/>
    </row>
    <row r="543">
      <c r="A543" s="20"/>
      <c r="B543" s="20"/>
      <c r="C543" s="20"/>
      <c r="D543" s="20"/>
      <c r="E543" s="20"/>
      <c r="F543" s="20"/>
      <c r="G543" s="20"/>
      <c r="H543" s="20"/>
      <c r="I543" s="20"/>
      <c r="J543" s="20"/>
      <c r="Z543" s="20"/>
    </row>
    <row r="544">
      <c r="A544" s="20"/>
      <c r="B544" s="20"/>
      <c r="C544" s="20"/>
      <c r="D544" s="20"/>
      <c r="E544" s="20"/>
      <c r="F544" s="20"/>
      <c r="G544" s="20"/>
      <c r="H544" s="20"/>
      <c r="I544" s="20"/>
      <c r="J544" s="20"/>
      <c r="Z544" s="20"/>
    </row>
    <row r="545">
      <c r="A545" s="20"/>
      <c r="B545" s="20"/>
      <c r="C545" s="20"/>
      <c r="D545" s="20"/>
      <c r="E545" s="20"/>
      <c r="F545" s="20"/>
      <c r="G545" s="20"/>
      <c r="H545" s="20"/>
      <c r="I545" s="20"/>
      <c r="J545" s="20"/>
      <c r="Z545" s="20"/>
    </row>
    <row r="546">
      <c r="A546" s="20"/>
      <c r="B546" s="20"/>
      <c r="C546" s="20"/>
      <c r="D546" s="20"/>
      <c r="E546" s="20"/>
      <c r="F546" s="20"/>
      <c r="G546" s="20"/>
      <c r="H546" s="20"/>
      <c r="I546" s="20"/>
      <c r="J546" s="20"/>
      <c r="Z546" s="20"/>
    </row>
    <row r="547">
      <c r="A547" s="20"/>
      <c r="B547" s="20"/>
      <c r="C547" s="20"/>
      <c r="D547" s="20"/>
      <c r="E547" s="20"/>
      <c r="F547" s="20"/>
      <c r="G547" s="20"/>
      <c r="H547" s="20"/>
      <c r="I547" s="20"/>
      <c r="J547" s="20"/>
      <c r="Z547" s="20"/>
    </row>
    <row r="548">
      <c r="A548" s="20"/>
      <c r="B548" s="20"/>
      <c r="C548" s="20"/>
      <c r="D548" s="20"/>
      <c r="E548" s="20"/>
      <c r="F548" s="20"/>
      <c r="G548" s="20"/>
      <c r="H548" s="20"/>
      <c r="I548" s="20"/>
      <c r="J548" s="20"/>
      <c r="Z548" s="20"/>
    </row>
    <row r="549">
      <c r="A549" s="20"/>
      <c r="B549" s="20"/>
      <c r="C549" s="20"/>
      <c r="D549" s="20"/>
      <c r="E549" s="20"/>
      <c r="F549" s="20"/>
      <c r="G549" s="20"/>
      <c r="H549" s="20"/>
      <c r="I549" s="20"/>
      <c r="J549" s="20"/>
      <c r="Z549" s="20"/>
    </row>
    <row r="550">
      <c r="A550" s="20"/>
      <c r="B550" s="20"/>
      <c r="C550" s="20"/>
      <c r="D550" s="20"/>
      <c r="E550" s="20"/>
      <c r="F550" s="20"/>
      <c r="G550" s="20"/>
      <c r="H550" s="20"/>
      <c r="I550" s="20"/>
      <c r="J550" s="20"/>
      <c r="Z550" s="20"/>
    </row>
    <row r="551">
      <c r="A551" s="20"/>
      <c r="B551" s="20"/>
      <c r="C551" s="20"/>
      <c r="D551" s="20"/>
      <c r="E551" s="20"/>
      <c r="F551" s="20"/>
      <c r="G551" s="20"/>
      <c r="H551" s="20"/>
      <c r="I551" s="20"/>
      <c r="J551" s="20"/>
      <c r="Z551" s="20"/>
    </row>
    <row r="552">
      <c r="A552" s="20"/>
      <c r="B552" s="20"/>
      <c r="C552" s="20"/>
      <c r="D552" s="20"/>
      <c r="E552" s="20"/>
      <c r="F552" s="20"/>
      <c r="G552" s="20"/>
      <c r="H552" s="20"/>
      <c r="I552" s="20"/>
      <c r="J552" s="20"/>
      <c r="Z552" s="20"/>
    </row>
    <row r="553">
      <c r="A553" s="20"/>
      <c r="B553" s="20"/>
      <c r="C553" s="20"/>
      <c r="D553" s="20"/>
      <c r="E553" s="20"/>
      <c r="F553" s="20"/>
      <c r="G553" s="20"/>
      <c r="H553" s="20"/>
      <c r="I553" s="20"/>
      <c r="J553" s="20"/>
      <c r="Z553" s="20"/>
    </row>
    <row r="554">
      <c r="A554" s="20"/>
      <c r="B554" s="20"/>
      <c r="C554" s="20"/>
      <c r="D554" s="20"/>
      <c r="E554" s="20"/>
      <c r="F554" s="20"/>
      <c r="G554" s="20"/>
      <c r="H554" s="20"/>
      <c r="I554" s="20"/>
      <c r="J554" s="20"/>
      <c r="Z554" s="20"/>
    </row>
    <row r="555">
      <c r="A555" s="20"/>
      <c r="B555" s="20"/>
      <c r="C555" s="20"/>
      <c r="D555" s="20"/>
      <c r="E555" s="20"/>
      <c r="F555" s="20"/>
      <c r="G555" s="20"/>
      <c r="H555" s="20"/>
      <c r="I555" s="20"/>
      <c r="J555" s="20"/>
      <c r="Z555" s="20"/>
    </row>
    <row r="556">
      <c r="A556" s="20"/>
      <c r="B556" s="20"/>
      <c r="C556" s="20"/>
      <c r="D556" s="20"/>
      <c r="E556" s="20"/>
      <c r="F556" s="20"/>
      <c r="G556" s="20"/>
      <c r="H556" s="20"/>
      <c r="I556" s="20"/>
      <c r="J556" s="20"/>
      <c r="Z556" s="20"/>
    </row>
    <row r="557">
      <c r="A557" s="20"/>
      <c r="B557" s="20"/>
      <c r="C557" s="20"/>
      <c r="D557" s="20"/>
      <c r="E557" s="20"/>
      <c r="F557" s="20"/>
      <c r="G557" s="20"/>
      <c r="H557" s="20"/>
      <c r="I557" s="20"/>
      <c r="J557" s="20"/>
      <c r="Z557" s="20"/>
    </row>
    <row r="558">
      <c r="A558" s="20"/>
      <c r="B558" s="20"/>
      <c r="C558" s="20"/>
      <c r="D558" s="20"/>
      <c r="E558" s="20"/>
      <c r="F558" s="20"/>
      <c r="G558" s="20"/>
      <c r="H558" s="20"/>
      <c r="I558" s="20"/>
      <c r="J558" s="20"/>
      <c r="Z558" s="20"/>
    </row>
    <row r="559">
      <c r="A559" s="20"/>
      <c r="B559" s="20"/>
      <c r="C559" s="20"/>
      <c r="D559" s="20"/>
      <c r="E559" s="20"/>
      <c r="F559" s="20"/>
      <c r="G559" s="20"/>
      <c r="H559" s="20"/>
      <c r="I559" s="20"/>
      <c r="J559" s="20"/>
      <c r="Z559" s="20"/>
    </row>
    <row r="560">
      <c r="A560" s="20"/>
      <c r="B560" s="20"/>
      <c r="C560" s="20"/>
      <c r="D560" s="20"/>
      <c r="E560" s="20"/>
      <c r="F560" s="20"/>
      <c r="G560" s="20"/>
      <c r="H560" s="20"/>
      <c r="I560" s="20"/>
      <c r="J560" s="20"/>
      <c r="Z560" s="20"/>
    </row>
    <row r="561">
      <c r="A561" s="20"/>
      <c r="B561" s="20"/>
      <c r="C561" s="20"/>
      <c r="D561" s="20"/>
      <c r="E561" s="20"/>
      <c r="F561" s="20"/>
      <c r="G561" s="20"/>
      <c r="H561" s="20"/>
      <c r="I561" s="20"/>
      <c r="J561" s="20"/>
      <c r="Z561" s="20"/>
    </row>
    <row r="562">
      <c r="A562" s="20"/>
      <c r="B562" s="20"/>
      <c r="C562" s="20"/>
      <c r="D562" s="20"/>
      <c r="E562" s="20"/>
      <c r="F562" s="20"/>
      <c r="G562" s="20"/>
      <c r="H562" s="20"/>
      <c r="I562" s="20"/>
      <c r="J562" s="20"/>
      <c r="Z562" s="20"/>
    </row>
    <row r="563">
      <c r="A563" s="20"/>
      <c r="B563" s="20"/>
      <c r="C563" s="20"/>
      <c r="D563" s="20"/>
      <c r="E563" s="20"/>
      <c r="F563" s="20"/>
      <c r="G563" s="20"/>
      <c r="H563" s="20"/>
      <c r="I563" s="20"/>
      <c r="J563" s="20"/>
      <c r="Z563" s="20"/>
    </row>
    <row r="564">
      <c r="A564" s="20"/>
      <c r="B564" s="20"/>
      <c r="C564" s="20"/>
      <c r="D564" s="20"/>
      <c r="E564" s="20"/>
      <c r="F564" s="20"/>
      <c r="G564" s="20"/>
      <c r="H564" s="20"/>
      <c r="I564" s="20"/>
      <c r="J564" s="20"/>
      <c r="Z564" s="20"/>
    </row>
    <row r="565">
      <c r="A565" s="20"/>
      <c r="B565" s="20"/>
      <c r="C565" s="20"/>
      <c r="D565" s="20"/>
      <c r="E565" s="20"/>
      <c r="F565" s="20"/>
      <c r="G565" s="20"/>
      <c r="H565" s="20"/>
      <c r="I565" s="20"/>
      <c r="J565" s="20"/>
      <c r="Z565" s="20"/>
    </row>
    <row r="566">
      <c r="A566" s="20"/>
      <c r="B566" s="20"/>
      <c r="C566" s="20"/>
      <c r="D566" s="20"/>
      <c r="E566" s="20"/>
      <c r="F566" s="20"/>
      <c r="G566" s="20"/>
      <c r="H566" s="20"/>
      <c r="I566" s="20"/>
      <c r="J566" s="20"/>
      <c r="Z566" s="20"/>
    </row>
    <row r="567">
      <c r="A567" s="20"/>
      <c r="B567" s="20"/>
      <c r="C567" s="20"/>
      <c r="D567" s="20"/>
      <c r="E567" s="20"/>
      <c r="F567" s="20"/>
      <c r="G567" s="20"/>
      <c r="H567" s="20"/>
      <c r="I567" s="20"/>
      <c r="J567" s="20"/>
      <c r="Z567" s="20"/>
    </row>
    <row r="568">
      <c r="A568" s="20"/>
      <c r="B568" s="20"/>
      <c r="C568" s="20"/>
      <c r="D568" s="20"/>
      <c r="E568" s="20"/>
      <c r="F568" s="20"/>
      <c r="G568" s="20"/>
      <c r="H568" s="20"/>
      <c r="I568" s="20"/>
      <c r="J568" s="20"/>
      <c r="Z568" s="20"/>
    </row>
    <row r="569">
      <c r="A569" s="20"/>
      <c r="B569" s="20"/>
      <c r="C569" s="20"/>
      <c r="D569" s="20"/>
      <c r="E569" s="20"/>
      <c r="F569" s="20"/>
      <c r="G569" s="20"/>
      <c r="H569" s="20"/>
      <c r="I569" s="20"/>
      <c r="J569" s="20"/>
      <c r="Z569" s="20"/>
    </row>
    <row r="570">
      <c r="A570" s="20"/>
      <c r="B570" s="20"/>
      <c r="C570" s="20"/>
      <c r="D570" s="20"/>
      <c r="E570" s="20"/>
      <c r="F570" s="20"/>
      <c r="G570" s="20"/>
      <c r="H570" s="20"/>
      <c r="I570" s="20"/>
      <c r="J570" s="20"/>
      <c r="Z570" s="20"/>
    </row>
    <row r="571">
      <c r="A571" s="20"/>
      <c r="B571" s="20"/>
      <c r="C571" s="20"/>
      <c r="D571" s="20"/>
      <c r="E571" s="20"/>
      <c r="F571" s="20"/>
      <c r="G571" s="20"/>
      <c r="H571" s="20"/>
      <c r="I571" s="20"/>
      <c r="J571" s="20"/>
      <c r="Z571" s="20"/>
    </row>
    <row r="572">
      <c r="A572" s="20"/>
      <c r="B572" s="20"/>
      <c r="C572" s="20"/>
      <c r="D572" s="20"/>
      <c r="E572" s="20"/>
      <c r="F572" s="20"/>
      <c r="G572" s="20"/>
      <c r="H572" s="20"/>
      <c r="I572" s="20"/>
      <c r="J572" s="20"/>
      <c r="Z572" s="20"/>
    </row>
    <row r="573">
      <c r="A573" s="20"/>
      <c r="B573" s="20"/>
      <c r="C573" s="20"/>
      <c r="D573" s="20"/>
      <c r="E573" s="20"/>
      <c r="F573" s="20"/>
      <c r="G573" s="20"/>
      <c r="H573" s="20"/>
      <c r="I573" s="20"/>
      <c r="J573" s="20"/>
      <c r="Z573" s="20"/>
    </row>
    <row r="574">
      <c r="A574" s="20"/>
      <c r="B574" s="20"/>
      <c r="C574" s="20"/>
      <c r="D574" s="20"/>
      <c r="E574" s="20"/>
      <c r="F574" s="20"/>
      <c r="G574" s="20"/>
      <c r="H574" s="20"/>
      <c r="I574" s="20"/>
      <c r="J574" s="20"/>
      <c r="Z574" s="20"/>
    </row>
    <row r="575">
      <c r="A575" s="20"/>
      <c r="B575" s="20"/>
      <c r="C575" s="20"/>
      <c r="D575" s="20"/>
      <c r="E575" s="20"/>
      <c r="F575" s="20"/>
      <c r="G575" s="20"/>
      <c r="H575" s="20"/>
      <c r="I575" s="20"/>
      <c r="J575" s="20"/>
      <c r="Z575" s="20"/>
    </row>
    <row r="576">
      <c r="A576" s="20"/>
      <c r="B576" s="20"/>
      <c r="C576" s="20"/>
      <c r="D576" s="20"/>
      <c r="E576" s="20"/>
      <c r="F576" s="20"/>
      <c r="G576" s="20"/>
      <c r="H576" s="20"/>
      <c r="I576" s="20"/>
      <c r="J576" s="20"/>
      <c r="Z576" s="20"/>
    </row>
    <row r="577">
      <c r="A577" s="20"/>
      <c r="B577" s="20"/>
      <c r="C577" s="20"/>
      <c r="D577" s="20"/>
      <c r="E577" s="20"/>
      <c r="F577" s="20"/>
      <c r="G577" s="20"/>
      <c r="H577" s="20"/>
      <c r="I577" s="20"/>
      <c r="J577" s="20"/>
      <c r="Z577" s="20"/>
    </row>
    <row r="578">
      <c r="A578" s="20"/>
      <c r="B578" s="20"/>
      <c r="C578" s="20"/>
      <c r="D578" s="20"/>
      <c r="E578" s="20"/>
      <c r="F578" s="20"/>
      <c r="G578" s="20"/>
      <c r="H578" s="20"/>
      <c r="I578" s="20"/>
      <c r="J578" s="20"/>
      <c r="Z578" s="20"/>
    </row>
    <row r="579">
      <c r="A579" s="20"/>
      <c r="B579" s="20"/>
      <c r="C579" s="20"/>
      <c r="D579" s="20"/>
      <c r="E579" s="20"/>
      <c r="F579" s="20"/>
      <c r="G579" s="20"/>
      <c r="H579" s="20"/>
      <c r="I579" s="20"/>
      <c r="J579" s="20"/>
      <c r="Z579" s="20"/>
    </row>
    <row r="580">
      <c r="A580" s="20"/>
      <c r="B580" s="20"/>
      <c r="C580" s="20"/>
      <c r="D580" s="20"/>
      <c r="E580" s="20"/>
      <c r="F580" s="20"/>
      <c r="G580" s="20"/>
      <c r="H580" s="20"/>
      <c r="I580" s="20"/>
      <c r="J580" s="20"/>
      <c r="Z580" s="20"/>
    </row>
    <row r="581">
      <c r="A581" s="20"/>
      <c r="B581" s="20"/>
      <c r="C581" s="20"/>
      <c r="D581" s="20"/>
      <c r="E581" s="20"/>
      <c r="F581" s="20"/>
      <c r="G581" s="20"/>
      <c r="H581" s="20"/>
      <c r="I581" s="20"/>
      <c r="J581" s="20"/>
      <c r="Z581" s="20"/>
    </row>
    <row r="582">
      <c r="A582" s="20"/>
      <c r="B582" s="20"/>
      <c r="C582" s="20"/>
      <c r="D582" s="20"/>
      <c r="E582" s="20"/>
      <c r="F582" s="20"/>
      <c r="G582" s="20"/>
      <c r="H582" s="20"/>
      <c r="I582" s="20"/>
      <c r="J582" s="20"/>
      <c r="Z582" s="20"/>
    </row>
    <row r="583">
      <c r="A583" s="20"/>
      <c r="B583" s="20"/>
      <c r="C583" s="20"/>
      <c r="D583" s="20"/>
      <c r="E583" s="20"/>
      <c r="F583" s="20"/>
      <c r="G583" s="20"/>
      <c r="H583" s="20"/>
      <c r="I583" s="20"/>
      <c r="J583" s="20"/>
      <c r="Z583" s="20"/>
    </row>
    <row r="584">
      <c r="A584" s="20"/>
      <c r="B584" s="20"/>
      <c r="C584" s="20"/>
      <c r="D584" s="20"/>
      <c r="E584" s="20"/>
      <c r="F584" s="20"/>
      <c r="G584" s="20"/>
      <c r="H584" s="20"/>
      <c r="I584" s="20"/>
      <c r="J584" s="20"/>
      <c r="Z584" s="20"/>
    </row>
    <row r="585">
      <c r="A585" s="20"/>
      <c r="B585" s="20"/>
      <c r="C585" s="20"/>
      <c r="D585" s="20"/>
      <c r="E585" s="20"/>
      <c r="F585" s="20"/>
      <c r="G585" s="20"/>
      <c r="H585" s="20"/>
      <c r="I585" s="20"/>
      <c r="J585" s="20"/>
      <c r="Z585" s="20"/>
    </row>
    <row r="586">
      <c r="A586" s="20"/>
      <c r="B586" s="20"/>
      <c r="C586" s="20"/>
      <c r="D586" s="20"/>
      <c r="E586" s="20"/>
      <c r="F586" s="20"/>
      <c r="G586" s="20"/>
      <c r="H586" s="20"/>
      <c r="I586" s="20"/>
      <c r="J586" s="20"/>
      <c r="Z586" s="20"/>
    </row>
    <row r="587">
      <c r="A587" s="20"/>
      <c r="B587" s="20"/>
      <c r="C587" s="20"/>
      <c r="D587" s="20"/>
      <c r="E587" s="20"/>
      <c r="F587" s="20"/>
      <c r="G587" s="20"/>
      <c r="H587" s="20"/>
      <c r="I587" s="20"/>
      <c r="J587" s="20"/>
      <c r="Z587" s="20"/>
    </row>
    <row r="588">
      <c r="A588" s="20"/>
      <c r="B588" s="20"/>
      <c r="C588" s="20"/>
      <c r="D588" s="20"/>
      <c r="E588" s="20"/>
      <c r="F588" s="20"/>
      <c r="G588" s="20"/>
      <c r="H588" s="20"/>
      <c r="I588" s="20"/>
      <c r="J588" s="20"/>
      <c r="Z588" s="20"/>
    </row>
    <row r="589">
      <c r="A589" s="20"/>
      <c r="B589" s="20"/>
      <c r="C589" s="20"/>
      <c r="D589" s="20"/>
      <c r="E589" s="20"/>
      <c r="F589" s="20"/>
      <c r="G589" s="20"/>
      <c r="H589" s="20"/>
      <c r="I589" s="20"/>
      <c r="J589" s="20"/>
      <c r="Z589" s="20"/>
    </row>
    <row r="590">
      <c r="A590" s="20"/>
      <c r="B590" s="20"/>
      <c r="C590" s="20"/>
      <c r="D590" s="20"/>
      <c r="E590" s="20"/>
      <c r="F590" s="20"/>
      <c r="G590" s="20"/>
      <c r="H590" s="20"/>
      <c r="I590" s="20"/>
      <c r="J590" s="20"/>
      <c r="Z590" s="20"/>
    </row>
    <row r="591">
      <c r="A591" s="20"/>
      <c r="B591" s="20"/>
      <c r="C591" s="20"/>
      <c r="D591" s="20"/>
      <c r="E591" s="20"/>
      <c r="F591" s="20"/>
      <c r="G591" s="20"/>
      <c r="H591" s="20"/>
      <c r="I591" s="20"/>
      <c r="J591" s="20"/>
      <c r="Z591" s="20"/>
    </row>
    <row r="592">
      <c r="A592" s="20"/>
      <c r="B592" s="20"/>
      <c r="C592" s="20"/>
      <c r="D592" s="20"/>
      <c r="E592" s="20"/>
      <c r="F592" s="20"/>
      <c r="G592" s="20"/>
      <c r="H592" s="20"/>
      <c r="I592" s="20"/>
      <c r="J592" s="20"/>
      <c r="Z592" s="20"/>
    </row>
    <row r="593">
      <c r="A593" s="20"/>
      <c r="B593" s="20"/>
      <c r="C593" s="20"/>
      <c r="D593" s="20"/>
      <c r="E593" s="20"/>
      <c r="F593" s="20"/>
      <c r="G593" s="20"/>
      <c r="H593" s="20"/>
      <c r="I593" s="20"/>
      <c r="J593" s="20"/>
      <c r="Z593" s="20"/>
    </row>
    <row r="594">
      <c r="A594" s="20"/>
      <c r="B594" s="20"/>
      <c r="C594" s="20"/>
      <c r="D594" s="20"/>
      <c r="E594" s="20"/>
      <c r="F594" s="20"/>
      <c r="G594" s="20"/>
      <c r="H594" s="20"/>
      <c r="I594" s="20"/>
      <c r="J594" s="20"/>
      <c r="Z594" s="20"/>
    </row>
    <row r="595">
      <c r="A595" s="20"/>
      <c r="B595" s="20"/>
      <c r="C595" s="20"/>
      <c r="D595" s="20"/>
      <c r="E595" s="20"/>
      <c r="F595" s="20"/>
      <c r="G595" s="20"/>
      <c r="H595" s="20"/>
      <c r="I595" s="20"/>
      <c r="J595" s="20"/>
      <c r="Z595" s="20"/>
    </row>
    <row r="596">
      <c r="A596" s="20"/>
      <c r="B596" s="20"/>
      <c r="C596" s="20"/>
      <c r="D596" s="20"/>
      <c r="E596" s="20"/>
      <c r="F596" s="20"/>
      <c r="G596" s="20"/>
      <c r="H596" s="20"/>
      <c r="I596" s="20"/>
      <c r="J596" s="20"/>
      <c r="Z596" s="20"/>
    </row>
    <row r="597">
      <c r="A597" s="20"/>
      <c r="B597" s="20"/>
      <c r="C597" s="20"/>
      <c r="D597" s="20"/>
      <c r="E597" s="20"/>
      <c r="F597" s="20"/>
      <c r="G597" s="20"/>
      <c r="H597" s="20"/>
      <c r="I597" s="20"/>
      <c r="J597" s="20"/>
      <c r="Z597" s="20"/>
    </row>
    <row r="598">
      <c r="A598" s="20"/>
      <c r="B598" s="20"/>
      <c r="C598" s="20"/>
      <c r="D598" s="20"/>
      <c r="E598" s="20"/>
      <c r="F598" s="20"/>
      <c r="G598" s="20"/>
      <c r="H598" s="20"/>
      <c r="I598" s="20"/>
      <c r="J598" s="20"/>
      <c r="Z598" s="20"/>
    </row>
    <row r="599">
      <c r="A599" s="20"/>
      <c r="B599" s="20"/>
      <c r="C599" s="20"/>
      <c r="D599" s="20"/>
      <c r="E599" s="20"/>
      <c r="F599" s="20"/>
      <c r="G599" s="20"/>
      <c r="H599" s="20"/>
      <c r="I599" s="20"/>
      <c r="J599" s="20"/>
      <c r="Z599" s="20"/>
    </row>
    <row r="600">
      <c r="A600" s="20"/>
      <c r="B600" s="20"/>
      <c r="C600" s="20"/>
      <c r="D600" s="20"/>
      <c r="E600" s="20"/>
      <c r="F600" s="20"/>
      <c r="G600" s="20"/>
      <c r="H600" s="20"/>
      <c r="I600" s="20"/>
      <c r="J600" s="20"/>
      <c r="Z600" s="20"/>
    </row>
    <row r="601">
      <c r="A601" s="20"/>
      <c r="B601" s="20"/>
      <c r="C601" s="20"/>
      <c r="D601" s="20"/>
      <c r="E601" s="20"/>
      <c r="F601" s="20"/>
      <c r="G601" s="20"/>
      <c r="H601" s="20"/>
      <c r="I601" s="20"/>
      <c r="J601" s="20"/>
      <c r="Z601" s="20"/>
    </row>
    <row r="602">
      <c r="A602" s="20"/>
      <c r="B602" s="20"/>
      <c r="C602" s="20"/>
      <c r="D602" s="20"/>
      <c r="E602" s="20"/>
      <c r="F602" s="20"/>
      <c r="G602" s="20"/>
      <c r="H602" s="20"/>
      <c r="I602" s="20"/>
      <c r="J602" s="20"/>
      <c r="Z602" s="20"/>
    </row>
    <row r="603">
      <c r="A603" s="20"/>
      <c r="B603" s="20"/>
      <c r="C603" s="20"/>
      <c r="D603" s="20"/>
      <c r="E603" s="20"/>
      <c r="F603" s="20"/>
      <c r="G603" s="20"/>
      <c r="H603" s="20"/>
      <c r="I603" s="20"/>
      <c r="J603" s="20"/>
      <c r="Z603" s="20"/>
    </row>
    <row r="604">
      <c r="A604" s="20"/>
      <c r="B604" s="20"/>
      <c r="C604" s="20"/>
      <c r="D604" s="20"/>
      <c r="E604" s="20"/>
      <c r="F604" s="20"/>
      <c r="G604" s="20"/>
      <c r="H604" s="20"/>
      <c r="I604" s="20"/>
      <c r="J604" s="20"/>
      <c r="Z604" s="20"/>
    </row>
    <row r="605">
      <c r="A605" s="20"/>
      <c r="B605" s="20"/>
      <c r="C605" s="20"/>
      <c r="D605" s="20"/>
      <c r="E605" s="20"/>
      <c r="F605" s="20"/>
      <c r="G605" s="20"/>
      <c r="H605" s="20"/>
      <c r="I605" s="20"/>
      <c r="J605" s="20"/>
      <c r="Z605" s="20"/>
    </row>
    <row r="606">
      <c r="A606" s="20"/>
      <c r="B606" s="20"/>
      <c r="C606" s="20"/>
      <c r="D606" s="20"/>
      <c r="E606" s="20"/>
      <c r="F606" s="20"/>
      <c r="G606" s="20"/>
      <c r="H606" s="20"/>
      <c r="I606" s="20"/>
      <c r="J606" s="20"/>
      <c r="Z606" s="20"/>
    </row>
    <row r="607">
      <c r="A607" s="20"/>
      <c r="B607" s="20"/>
      <c r="C607" s="20"/>
      <c r="D607" s="20"/>
      <c r="E607" s="20"/>
      <c r="F607" s="20"/>
      <c r="G607" s="20"/>
      <c r="H607" s="20"/>
      <c r="I607" s="20"/>
      <c r="J607" s="20"/>
      <c r="Z607" s="20"/>
    </row>
    <row r="608">
      <c r="A608" s="20"/>
      <c r="B608" s="20"/>
      <c r="C608" s="20"/>
      <c r="D608" s="20"/>
      <c r="E608" s="20"/>
      <c r="F608" s="20"/>
      <c r="G608" s="20"/>
      <c r="H608" s="20"/>
      <c r="I608" s="20"/>
      <c r="J608" s="20"/>
      <c r="Z608" s="20"/>
    </row>
    <row r="609">
      <c r="A609" s="20"/>
      <c r="B609" s="20"/>
      <c r="C609" s="20"/>
      <c r="D609" s="20"/>
      <c r="E609" s="20"/>
      <c r="F609" s="20"/>
      <c r="G609" s="20"/>
      <c r="H609" s="20"/>
      <c r="I609" s="20"/>
      <c r="J609" s="20"/>
      <c r="Z609" s="20"/>
    </row>
    <row r="610">
      <c r="A610" s="20"/>
      <c r="B610" s="20"/>
      <c r="C610" s="20"/>
      <c r="D610" s="20"/>
      <c r="E610" s="20"/>
      <c r="F610" s="20"/>
      <c r="G610" s="20"/>
      <c r="H610" s="20"/>
      <c r="I610" s="20"/>
      <c r="J610" s="20"/>
      <c r="Z610" s="20"/>
    </row>
    <row r="611">
      <c r="A611" s="20"/>
      <c r="B611" s="20"/>
      <c r="C611" s="20"/>
      <c r="D611" s="20"/>
      <c r="E611" s="20"/>
      <c r="F611" s="20"/>
      <c r="G611" s="20"/>
      <c r="H611" s="20"/>
      <c r="I611" s="20"/>
      <c r="J611" s="20"/>
      <c r="Z611" s="20"/>
    </row>
    <row r="612">
      <c r="A612" s="20"/>
      <c r="B612" s="20"/>
      <c r="C612" s="20"/>
      <c r="D612" s="20"/>
      <c r="E612" s="20"/>
      <c r="F612" s="20"/>
      <c r="G612" s="20"/>
      <c r="H612" s="20"/>
      <c r="I612" s="20"/>
      <c r="J612" s="20"/>
      <c r="Z612" s="20"/>
    </row>
    <row r="613">
      <c r="A613" s="20"/>
      <c r="B613" s="20"/>
      <c r="C613" s="20"/>
      <c r="D613" s="20"/>
      <c r="E613" s="20"/>
      <c r="F613" s="20"/>
      <c r="G613" s="20"/>
      <c r="H613" s="20"/>
      <c r="I613" s="20"/>
      <c r="J613" s="20"/>
      <c r="Z613" s="20"/>
    </row>
    <row r="614">
      <c r="A614" s="20"/>
      <c r="B614" s="20"/>
      <c r="C614" s="20"/>
      <c r="D614" s="20"/>
      <c r="E614" s="20"/>
      <c r="F614" s="20"/>
      <c r="G614" s="20"/>
      <c r="H614" s="20"/>
      <c r="I614" s="20"/>
      <c r="J614" s="20"/>
      <c r="Z614" s="20"/>
    </row>
    <row r="615">
      <c r="A615" s="20"/>
      <c r="B615" s="20"/>
      <c r="C615" s="20"/>
      <c r="D615" s="20"/>
      <c r="E615" s="20"/>
      <c r="F615" s="20"/>
      <c r="G615" s="20"/>
      <c r="H615" s="20"/>
      <c r="I615" s="20"/>
      <c r="J615" s="20"/>
      <c r="Z615" s="20"/>
    </row>
    <row r="616">
      <c r="A616" s="20"/>
      <c r="B616" s="20"/>
      <c r="C616" s="20"/>
      <c r="D616" s="20"/>
      <c r="E616" s="20"/>
      <c r="F616" s="20"/>
      <c r="G616" s="20"/>
      <c r="H616" s="20"/>
      <c r="I616" s="20"/>
      <c r="J616" s="20"/>
      <c r="Z616" s="20"/>
    </row>
    <row r="617">
      <c r="A617" s="20"/>
      <c r="B617" s="20"/>
      <c r="C617" s="20"/>
      <c r="D617" s="20"/>
      <c r="E617" s="20"/>
      <c r="F617" s="20"/>
      <c r="G617" s="20"/>
      <c r="H617" s="20"/>
      <c r="I617" s="20"/>
      <c r="J617" s="20"/>
      <c r="Z617" s="20"/>
    </row>
    <row r="618">
      <c r="A618" s="20"/>
      <c r="B618" s="20"/>
      <c r="C618" s="20"/>
      <c r="D618" s="20"/>
      <c r="E618" s="20"/>
      <c r="F618" s="20"/>
      <c r="G618" s="20"/>
      <c r="H618" s="20"/>
      <c r="I618" s="20"/>
      <c r="J618" s="20"/>
      <c r="Z618" s="20"/>
    </row>
    <row r="619">
      <c r="A619" s="20"/>
      <c r="B619" s="20"/>
      <c r="C619" s="20"/>
      <c r="D619" s="20"/>
      <c r="E619" s="20"/>
      <c r="F619" s="20"/>
      <c r="G619" s="20"/>
      <c r="H619" s="20"/>
      <c r="I619" s="20"/>
      <c r="J619" s="20"/>
      <c r="Z619" s="20"/>
    </row>
    <row r="620">
      <c r="A620" s="20"/>
      <c r="B620" s="20"/>
      <c r="C620" s="20"/>
      <c r="D620" s="20"/>
      <c r="E620" s="20"/>
      <c r="F620" s="20"/>
      <c r="G620" s="20"/>
      <c r="H620" s="20"/>
      <c r="I620" s="20"/>
      <c r="J620" s="20"/>
      <c r="Z620" s="20"/>
    </row>
    <row r="621">
      <c r="A621" s="20"/>
      <c r="B621" s="20"/>
      <c r="C621" s="20"/>
      <c r="D621" s="20"/>
      <c r="E621" s="20"/>
      <c r="F621" s="20"/>
      <c r="G621" s="20"/>
      <c r="H621" s="20"/>
      <c r="I621" s="20"/>
      <c r="J621" s="20"/>
      <c r="Z621" s="20"/>
    </row>
    <row r="622">
      <c r="A622" s="20"/>
      <c r="B622" s="20"/>
      <c r="C622" s="20"/>
      <c r="D622" s="20"/>
      <c r="E622" s="20"/>
      <c r="F622" s="20"/>
      <c r="G622" s="20"/>
      <c r="H622" s="20"/>
      <c r="I622" s="20"/>
      <c r="J622" s="20"/>
      <c r="Z622" s="20"/>
    </row>
    <row r="623">
      <c r="A623" s="20"/>
      <c r="B623" s="20"/>
      <c r="C623" s="20"/>
      <c r="D623" s="20"/>
      <c r="E623" s="20"/>
      <c r="F623" s="20"/>
      <c r="G623" s="20"/>
      <c r="H623" s="20"/>
      <c r="I623" s="20"/>
      <c r="J623" s="20"/>
      <c r="Z623" s="20"/>
    </row>
    <row r="624">
      <c r="A624" s="20"/>
      <c r="B624" s="20"/>
      <c r="C624" s="20"/>
      <c r="D624" s="20"/>
      <c r="E624" s="20"/>
      <c r="F624" s="20"/>
      <c r="G624" s="20"/>
      <c r="H624" s="20"/>
      <c r="I624" s="20"/>
      <c r="J624" s="20"/>
      <c r="Z624" s="20"/>
    </row>
    <row r="625">
      <c r="A625" s="20"/>
      <c r="B625" s="20"/>
      <c r="C625" s="20"/>
      <c r="D625" s="20"/>
      <c r="E625" s="20"/>
      <c r="F625" s="20"/>
      <c r="G625" s="20"/>
      <c r="H625" s="20"/>
      <c r="I625" s="20"/>
      <c r="J625" s="20"/>
      <c r="Z625" s="20"/>
    </row>
    <row r="626">
      <c r="A626" s="20"/>
      <c r="B626" s="20"/>
      <c r="C626" s="20"/>
      <c r="D626" s="20"/>
      <c r="E626" s="20"/>
      <c r="F626" s="20"/>
      <c r="G626" s="20"/>
      <c r="H626" s="20"/>
      <c r="I626" s="20"/>
      <c r="J626" s="20"/>
      <c r="Z626" s="20"/>
    </row>
    <row r="627">
      <c r="A627" s="20"/>
      <c r="B627" s="20"/>
      <c r="C627" s="20"/>
      <c r="D627" s="20"/>
      <c r="E627" s="20"/>
      <c r="F627" s="20"/>
      <c r="G627" s="20"/>
      <c r="H627" s="20"/>
      <c r="I627" s="20"/>
      <c r="J627" s="20"/>
      <c r="Z627" s="20"/>
    </row>
    <row r="628">
      <c r="A628" s="20"/>
      <c r="B628" s="20"/>
      <c r="C628" s="20"/>
      <c r="D628" s="20"/>
      <c r="E628" s="20"/>
      <c r="F628" s="20"/>
      <c r="G628" s="20"/>
      <c r="H628" s="20"/>
      <c r="I628" s="20"/>
      <c r="J628" s="20"/>
      <c r="Z628" s="20"/>
    </row>
    <row r="629">
      <c r="A629" s="20"/>
      <c r="B629" s="20"/>
      <c r="C629" s="20"/>
      <c r="D629" s="20"/>
      <c r="E629" s="20"/>
      <c r="F629" s="20"/>
      <c r="G629" s="20"/>
      <c r="H629" s="20"/>
      <c r="I629" s="20"/>
      <c r="J629" s="20"/>
      <c r="Z629" s="20"/>
    </row>
    <row r="630">
      <c r="A630" s="20"/>
      <c r="B630" s="20"/>
      <c r="C630" s="20"/>
      <c r="D630" s="20"/>
      <c r="E630" s="20"/>
      <c r="F630" s="20"/>
      <c r="G630" s="20"/>
      <c r="H630" s="20"/>
      <c r="I630" s="20"/>
      <c r="J630" s="20"/>
      <c r="Z630" s="20"/>
    </row>
    <row r="631">
      <c r="A631" s="20"/>
      <c r="B631" s="20"/>
      <c r="C631" s="20"/>
      <c r="D631" s="20"/>
      <c r="E631" s="20"/>
      <c r="F631" s="20"/>
      <c r="G631" s="20"/>
      <c r="H631" s="20"/>
      <c r="I631" s="20"/>
      <c r="J631" s="20"/>
      <c r="Z631" s="20"/>
    </row>
    <row r="632">
      <c r="A632" s="20"/>
      <c r="B632" s="20"/>
      <c r="C632" s="20"/>
      <c r="D632" s="20"/>
      <c r="E632" s="20"/>
      <c r="F632" s="20"/>
      <c r="G632" s="20"/>
      <c r="H632" s="20"/>
      <c r="I632" s="20"/>
      <c r="J632" s="20"/>
      <c r="Z632" s="20"/>
    </row>
    <row r="633">
      <c r="A633" s="20"/>
      <c r="B633" s="20"/>
      <c r="C633" s="20"/>
      <c r="D633" s="20"/>
      <c r="E633" s="20"/>
      <c r="F633" s="20"/>
      <c r="G633" s="20"/>
      <c r="H633" s="20"/>
      <c r="I633" s="20"/>
      <c r="J633" s="20"/>
      <c r="Z633" s="20"/>
    </row>
    <row r="634">
      <c r="A634" s="20"/>
      <c r="B634" s="20"/>
      <c r="C634" s="20"/>
      <c r="D634" s="20"/>
      <c r="E634" s="20"/>
      <c r="F634" s="20"/>
      <c r="G634" s="20"/>
      <c r="H634" s="20"/>
      <c r="I634" s="20"/>
      <c r="J634" s="20"/>
      <c r="Z634" s="20"/>
    </row>
    <row r="635">
      <c r="A635" s="20"/>
      <c r="B635" s="20"/>
      <c r="C635" s="20"/>
      <c r="D635" s="20"/>
      <c r="E635" s="20"/>
      <c r="F635" s="20"/>
      <c r="G635" s="20"/>
      <c r="H635" s="20"/>
      <c r="I635" s="20"/>
      <c r="J635" s="20"/>
      <c r="Z635" s="20"/>
    </row>
    <row r="636">
      <c r="A636" s="20"/>
      <c r="B636" s="20"/>
      <c r="C636" s="20"/>
      <c r="D636" s="20"/>
      <c r="E636" s="20"/>
      <c r="F636" s="20"/>
      <c r="G636" s="20"/>
      <c r="H636" s="20"/>
      <c r="I636" s="20"/>
      <c r="J636" s="20"/>
      <c r="Z636" s="20"/>
    </row>
    <row r="637">
      <c r="A637" s="20"/>
      <c r="B637" s="20"/>
      <c r="C637" s="20"/>
      <c r="D637" s="20"/>
      <c r="E637" s="20"/>
      <c r="F637" s="20"/>
      <c r="G637" s="20"/>
      <c r="H637" s="20"/>
      <c r="I637" s="20"/>
      <c r="J637" s="20"/>
      <c r="Z637" s="20"/>
    </row>
    <row r="638">
      <c r="A638" s="20"/>
      <c r="B638" s="20"/>
      <c r="C638" s="20"/>
      <c r="D638" s="20"/>
      <c r="E638" s="20"/>
      <c r="F638" s="20"/>
      <c r="G638" s="20"/>
      <c r="H638" s="20"/>
      <c r="I638" s="20"/>
      <c r="J638" s="20"/>
      <c r="Z638" s="20"/>
    </row>
    <row r="639">
      <c r="A639" s="20"/>
      <c r="B639" s="20"/>
      <c r="C639" s="20"/>
      <c r="D639" s="20"/>
      <c r="E639" s="20"/>
      <c r="F639" s="20"/>
      <c r="G639" s="20"/>
      <c r="H639" s="20"/>
      <c r="I639" s="20"/>
      <c r="J639" s="20"/>
      <c r="Z639" s="20"/>
    </row>
    <row r="640">
      <c r="A640" s="20"/>
      <c r="B640" s="20"/>
      <c r="C640" s="20"/>
      <c r="D640" s="20"/>
      <c r="E640" s="20"/>
      <c r="F640" s="20"/>
      <c r="G640" s="20"/>
      <c r="H640" s="20"/>
      <c r="I640" s="20"/>
      <c r="J640" s="20"/>
      <c r="Z640" s="20"/>
    </row>
    <row r="641">
      <c r="A641" s="20"/>
      <c r="B641" s="20"/>
      <c r="C641" s="20"/>
      <c r="D641" s="20"/>
      <c r="E641" s="20"/>
      <c r="F641" s="20"/>
      <c r="G641" s="20"/>
      <c r="H641" s="20"/>
      <c r="I641" s="20"/>
      <c r="J641" s="20"/>
      <c r="Z641" s="20"/>
    </row>
    <row r="642">
      <c r="A642" s="20"/>
      <c r="B642" s="20"/>
      <c r="C642" s="20"/>
      <c r="D642" s="20"/>
      <c r="E642" s="20"/>
      <c r="F642" s="20"/>
      <c r="G642" s="20"/>
      <c r="H642" s="20"/>
      <c r="I642" s="20"/>
      <c r="J642" s="20"/>
      <c r="Z642" s="20"/>
    </row>
    <row r="643">
      <c r="A643" s="20"/>
      <c r="B643" s="20"/>
      <c r="C643" s="20"/>
      <c r="D643" s="20"/>
      <c r="E643" s="20"/>
      <c r="F643" s="20"/>
      <c r="G643" s="20"/>
      <c r="H643" s="20"/>
      <c r="I643" s="20"/>
      <c r="J643" s="20"/>
      <c r="Z643" s="20"/>
    </row>
    <row r="644">
      <c r="A644" s="20"/>
      <c r="B644" s="20"/>
      <c r="C644" s="20"/>
      <c r="D644" s="20"/>
      <c r="E644" s="20"/>
      <c r="F644" s="20"/>
      <c r="G644" s="20"/>
      <c r="H644" s="20"/>
      <c r="I644" s="20"/>
      <c r="J644" s="20"/>
      <c r="Z644" s="20"/>
    </row>
    <row r="645">
      <c r="A645" s="20"/>
      <c r="B645" s="20"/>
      <c r="C645" s="20"/>
      <c r="D645" s="20"/>
      <c r="E645" s="20"/>
      <c r="F645" s="20"/>
      <c r="G645" s="20"/>
      <c r="H645" s="20"/>
      <c r="I645" s="20"/>
      <c r="J645" s="20"/>
      <c r="Z645" s="20"/>
    </row>
    <row r="646">
      <c r="A646" s="20"/>
      <c r="B646" s="20"/>
      <c r="C646" s="20"/>
      <c r="D646" s="20"/>
      <c r="E646" s="20"/>
      <c r="F646" s="20"/>
      <c r="G646" s="20"/>
      <c r="H646" s="20"/>
      <c r="I646" s="20"/>
      <c r="J646" s="20"/>
      <c r="Z646" s="20"/>
    </row>
    <row r="647">
      <c r="A647" s="20"/>
      <c r="B647" s="20"/>
      <c r="C647" s="20"/>
      <c r="D647" s="20"/>
      <c r="E647" s="20"/>
      <c r="F647" s="20"/>
      <c r="G647" s="20"/>
      <c r="H647" s="20"/>
      <c r="I647" s="20"/>
      <c r="J647" s="20"/>
      <c r="Z647" s="20"/>
    </row>
    <row r="648">
      <c r="A648" s="20"/>
      <c r="B648" s="20"/>
      <c r="C648" s="20"/>
      <c r="D648" s="20"/>
      <c r="E648" s="20"/>
      <c r="F648" s="20"/>
      <c r="G648" s="20"/>
      <c r="H648" s="20"/>
      <c r="I648" s="20"/>
      <c r="J648" s="20"/>
      <c r="Z648" s="20"/>
    </row>
    <row r="649">
      <c r="A649" s="20"/>
      <c r="B649" s="20"/>
      <c r="C649" s="20"/>
      <c r="D649" s="20"/>
      <c r="E649" s="20"/>
      <c r="F649" s="20"/>
      <c r="G649" s="20"/>
      <c r="H649" s="20"/>
      <c r="I649" s="20"/>
      <c r="J649" s="20"/>
      <c r="Z649" s="20"/>
    </row>
    <row r="650">
      <c r="A650" s="20"/>
      <c r="B650" s="20"/>
      <c r="C650" s="20"/>
      <c r="D650" s="20"/>
      <c r="E650" s="20"/>
      <c r="F650" s="20"/>
      <c r="G650" s="20"/>
      <c r="H650" s="20"/>
      <c r="I650" s="20"/>
      <c r="J650" s="20"/>
      <c r="Z650" s="20"/>
    </row>
    <row r="651">
      <c r="A651" s="20"/>
      <c r="B651" s="20"/>
      <c r="C651" s="20"/>
      <c r="D651" s="20"/>
      <c r="E651" s="20"/>
      <c r="F651" s="20"/>
      <c r="G651" s="20"/>
      <c r="H651" s="20"/>
      <c r="I651" s="20"/>
      <c r="J651" s="20"/>
      <c r="Z651" s="20"/>
    </row>
    <row r="652">
      <c r="A652" s="20"/>
      <c r="B652" s="20"/>
      <c r="C652" s="20"/>
      <c r="D652" s="20"/>
      <c r="E652" s="20"/>
      <c r="F652" s="20"/>
      <c r="G652" s="20"/>
      <c r="H652" s="20"/>
      <c r="I652" s="20"/>
      <c r="J652" s="20"/>
      <c r="Z652" s="20"/>
    </row>
    <row r="653">
      <c r="A653" s="20"/>
      <c r="B653" s="20"/>
      <c r="C653" s="20"/>
      <c r="D653" s="20"/>
      <c r="E653" s="20"/>
      <c r="F653" s="20"/>
      <c r="G653" s="20"/>
      <c r="H653" s="20"/>
      <c r="I653" s="20"/>
      <c r="J653" s="20"/>
      <c r="Z653" s="20"/>
    </row>
    <row r="654">
      <c r="A654" s="20"/>
      <c r="B654" s="20"/>
      <c r="C654" s="20"/>
      <c r="D654" s="20"/>
      <c r="E654" s="20"/>
      <c r="F654" s="20"/>
      <c r="G654" s="20"/>
      <c r="H654" s="20"/>
      <c r="I654" s="20"/>
      <c r="J654" s="20"/>
      <c r="Z654" s="20"/>
    </row>
    <row r="655">
      <c r="A655" s="20"/>
      <c r="B655" s="20"/>
      <c r="C655" s="20"/>
      <c r="D655" s="20"/>
      <c r="E655" s="20"/>
      <c r="F655" s="20"/>
      <c r="G655" s="20"/>
      <c r="H655" s="20"/>
      <c r="I655" s="20"/>
      <c r="J655" s="20"/>
      <c r="Z655" s="20"/>
    </row>
    <row r="656">
      <c r="A656" s="20"/>
      <c r="B656" s="20"/>
      <c r="C656" s="20"/>
      <c r="D656" s="20"/>
      <c r="E656" s="20"/>
      <c r="F656" s="20"/>
      <c r="G656" s="20"/>
      <c r="H656" s="20"/>
      <c r="I656" s="20"/>
      <c r="J656" s="20"/>
      <c r="Z656" s="20"/>
    </row>
    <row r="657">
      <c r="A657" s="20"/>
      <c r="B657" s="20"/>
      <c r="C657" s="20"/>
      <c r="D657" s="20"/>
      <c r="E657" s="20"/>
      <c r="F657" s="20"/>
      <c r="G657" s="20"/>
      <c r="H657" s="20"/>
      <c r="I657" s="20"/>
      <c r="J657" s="20"/>
      <c r="Z657" s="20"/>
    </row>
    <row r="658">
      <c r="A658" s="20"/>
      <c r="B658" s="20"/>
      <c r="C658" s="20"/>
      <c r="D658" s="20"/>
      <c r="E658" s="20"/>
      <c r="F658" s="20"/>
      <c r="G658" s="20"/>
      <c r="H658" s="20"/>
      <c r="I658" s="20"/>
      <c r="J658" s="20"/>
      <c r="Z658" s="20"/>
    </row>
    <row r="659">
      <c r="A659" s="20"/>
      <c r="B659" s="20"/>
      <c r="C659" s="20"/>
      <c r="D659" s="20"/>
      <c r="E659" s="20"/>
      <c r="F659" s="20"/>
      <c r="G659" s="20"/>
      <c r="H659" s="20"/>
      <c r="I659" s="20"/>
      <c r="J659" s="20"/>
      <c r="Z659" s="20"/>
    </row>
    <row r="660">
      <c r="A660" s="20"/>
      <c r="B660" s="20"/>
      <c r="C660" s="20"/>
      <c r="D660" s="20"/>
      <c r="E660" s="20"/>
      <c r="F660" s="20"/>
      <c r="G660" s="20"/>
      <c r="H660" s="20"/>
      <c r="I660" s="20"/>
      <c r="J660" s="20"/>
      <c r="Z660" s="20"/>
    </row>
    <row r="661">
      <c r="A661" s="20"/>
      <c r="B661" s="20"/>
      <c r="C661" s="20"/>
      <c r="D661" s="20"/>
      <c r="E661" s="20"/>
      <c r="F661" s="20"/>
      <c r="G661" s="20"/>
      <c r="H661" s="20"/>
      <c r="I661" s="20"/>
      <c r="J661" s="20"/>
      <c r="Z661" s="20"/>
    </row>
    <row r="662">
      <c r="A662" s="20"/>
      <c r="B662" s="20"/>
      <c r="C662" s="20"/>
      <c r="D662" s="20"/>
      <c r="E662" s="20"/>
      <c r="F662" s="20"/>
      <c r="G662" s="20"/>
      <c r="H662" s="20"/>
      <c r="I662" s="20"/>
      <c r="J662" s="20"/>
      <c r="Z662" s="20"/>
    </row>
    <row r="663">
      <c r="A663" s="20"/>
      <c r="B663" s="20"/>
      <c r="C663" s="20"/>
      <c r="D663" s="20"/>
      <c r="E663" s="20"/>
      <c r="F663" s="20"/>
      <c r="G663" s="20"/>
      <c r="H663" s="20"/>
      <c r="I663" s="20"/>
      <c r="J663" s="20"/>
      <c r="Z663" s="20"/>
    </row>
    <row r="664">
      <c r="A664" s="20"/>
      <c r="B664" s="20"/>
      <c r="C664" s="20"/>
      <c r="D664" s="20"/>
      <c r="E664" s="20"/>
      <c r="F664" s="20"/>
      <c r="G664" s="20"/>
      <c r="H664" s="20"/>
      <c r="I664" s="20"/>
      <c r="J664" s="20"/>
      <c r="Z664" s="20"/>
    </row>
    <row r="665">
      <c r="A665" s="20"/>
      <c r="B665" s="20"/>
      <c r="C665" s="20"/>
      <c r="D665" s="20"/>
      <c r="E665" s="20"/>
      <c r="F665" s="20"/>
      <c r="G665" s="20"/>
      <c r="H665" s="20"/>
      <c r="I665" s="20"/>
      <c r="J665" s="20"/>
      <c r="Z665" s="20"/>
    </row>
    <row r="666">
      <c r="A666" s="20"/>
      <c r="B666" s="20"/>
      <c r="C666" s="20"/>
      <c r="D666" s="20"/>
      <c r="E666" s="20"/>
      <c r="F666" s="20"/>
      <c r="G666" s="20"/>
      <c r="H666" s="20"/>
      <c r="I666" s="20"/>
      <c r="J666" s="20"/>
      <c r="Z666" s="20"/>
    </row>
    <row r="667">
      <c r="A667" s="20"/>
      <c r="B667" s="20"/>
      <c r="C667" s="20"/>
      <c r="D667" s="20"/>
      <c r="E667" s="20"/>
      <c r="F667" s="20"/>
      <c r="G667" s="20"/>
      <c r="H667" s="20"/>
      <c r="I667" s="20"/>
      <c r="J667" s="20"/>
      <c r="Z667" s="20"/>
    </row>
    <row r="668">
      <c r="A668" s="20"/>
      <c r="B668" s="20"/>
      <c r="C668" s="20"/>
      <c r="D668" s="20"/>
      <c r="E668" s="20"/>
      <c r="F668" s="20"/>
      <c r="G668" s="20"/>
      <c r="H668" s="20"/>
      <c r="I668" s="20"/>
      <c r="J668" s="20"/>
      <c r="Z668" s="20"/>
    </row>
    <row r="669">
      <c r="A669" s="20"/>
      <c r="B669" s="20"/>
      <c r="C669" s="20"/>
      <c r="D669" s="20"/>
      <c r="E669" s="20"/>
      <c r="F669" s="20"/>
      <c r="G669" s="20"/>
      <c r="H669" s="20"/>
      <c r="I669" s="20"/>
      <c r="J669" s="20"/>
      <c r="Z669" s="20"/>
    </row>
    <row r="670">
      <c r="A670" s="20"/>
      <c r="B670" s="20"/>
      <c r="C670" s="20"/>
      <c r="D670" s="20"/>
      <c r="E670" s="20"/>
      <c r="F670" s="20"/>
      <c r="G670" s="20"/>
      <c r="H670" s="20"/>
      <c r="I670" s="20"/>
      <c r="J670" s="20"/>
      <c r="Z670" s="20"/>
    </row>
    <row r="671">
      <c r="A671" s="20"/>
      <c r="B671" s="20"/>
      <c r="C671" s="20"/>
      <c r="D671" s="20"/>
      <c r="E671" s="20"/>
      <c r="F671" s="20"/>
      <c r="G671" s="20"/>
      <c r="H671" s="20"/>
      <c r="I671" s="20"/>
      <c r="J671" s="20"/>
      <c r="Z671" s="20"/>
    </row>
    <row r="672">
      <c r="A672" s="20"/>
      <c r="B672" s="20"/>
      <c r="C672" s="20"/>
      <c r="D672" s="20"/>
      <c r="E672" s="20"/>
      <c r="F672" s="20"/>
      <c r="G672" s="20"/>
      <c r="H672" s="20"/>
      <c r="I672" s="20"/>
      <c r="J672" s="20"/>
      <c r="Z672" s="20"/>
    </row>
    <row r="673">
      <c r="A673" s="20"/>
      <c r="B673" s="20"/>
      <c r="C673" s="20"/>
      <c r="D673" s="20"/>
      <c r="E673" s="20"/>
      <c r="F673" s="20"/>
      <c r="G673" s="20"/>
      <c r="H673" s="20"/>
      <c r="I673" s="20"/>
      <c r="J673" s="20"/>
      <c r="Z673" s="20"/>
    </row>
    <row r="674">
      <c r="A674" s="20"/>
      <c r="B674" s="20"/>
      <c r="C674" s="20"/>
      <c r="D674" s="20"/>
      <c r="E674" s="20"/>
      <c r="F674" s="20"/>
      <c r="G674" s="20"/>
      <c r="H674" s="20"/>
      <c r="I674" s="20"/>
      <c r="J674" s="20"/>
      <c r="Z674" s="20"/>
    </row>
    <row r="675">
      <c r="A675" s="20"/>
      <c r="B675" s="20"/>
      <c r="C675" s="20"/>
      <c r="D675" s="20"/>
      <c r="E675" s="20"/>
      <c r="F675" s="20"/>
      <c r="G675" s="20"/>
      <c r="H675" s="20"/>
      <c r="I675" s="20"/>
      <c r="J675" s="20"/>
      <c r="Z675" s="20"/>
    </row>
    <row r="676">
      <c r="A676" s="20"/>
      <c r="B676" s="20"/>
      <c r="C676" s="20"/>
      <c r="D676" s="20"/>
      <c r="E676" s="20"/>
      <c r="F676" s="20"/>
      <c r="G676" s="20"/>
      <c r="H676" s="20"/>
      <c r="I676" s="20"/>
      <c r="J676" s="20"/>
      <c r="Z676" s="20"/>
    </row>
    <row r="677">
      <c r="A677" s="20"/>
      <c r="B677" s="20"/>
      <c r="C677" s="20"/>
      <c r="D677" s="20"/>
      <c r="E677" s="20"/>
      <c r="F677" s="20"/>
      <c r="G677" s="20"/>
      <c r="H677" s="20"/>
      <c r="I677" s="20"/>
      <c r="J677" s="20"/>
      <c r="Z677" s="20"/>
    </row>
    <row r="678">
      <c r="A678" s="20"/>
      <c r="B678" s="20"/>
      <c r="C678" s="20"/>
      <c r="D678" s="20"/>
      <c r="E678" s="20"/>
      <c r="F678" s="20"/>
      <c r="G678" s="20"/>
      <c r="H678" s="20"/>
      <c r="I678" s="20"/>
      <c r="J678" s="20"/>
      <c r="Z678" s="20"/>
    </row>
    <row r="679">
      <c r="A679" s="20"/>
      <c r="B679" s="20"/>
      <c r="C679" s="20"/>
      <c r="D679" s="20"/>
      <c r="E679" s="20"/>
      <c r="F679" s="20"/>
      <c r="G679" s="20"/>
      <c r="H679" s="20"/>
      <c r="I679" s="20"/>
      <c r="J679" s="20"/>
      <c r="Z679" s="20"/>
    </row>
    <row r="680">
      <c r="A680" s="20"/>
      <c r="B680" s="20"/>
      <c r="C680" s="20"/>
      <c r="D680" s="20"/>
      <c r="E680" s="20"/>
      <c r="F680" s="20"/>
      <c r="G680" s="20"/>
      <c r="H680" s="20"/>
      <c r="I680" s="20"/>
      <c r="J680" s="20"/>
      <c r="Z680" s="20"/>
    </row>
    <row r="681">
      <c r="A681" s="20"/>
      <c r="B681" s="20"/>
      <c r="C681" s="20"/>
      <c r="D681" s="20"/>
      <c r="E681" s="20"/>
      <c r="F681" s="20"/>
      <c r="G681" s="20"/>
      <c r="H681" s="20"/>
      <c r="I681" s="20"/>
      <c r="J681" s="20"/>
      <c r="Z681" s="20"/>
    </row>
    <row r="682">
      <c r="A682" s="20"/>
      <c r="B682" s="20"/>
      <c r="C682" s="20"/>
      <c r="D682" s="20"/>
      <c r="E682" s="20"/>
      <c r="F682" s="20"/>
      <c r="G682" s="20"/>
      <c r="H682" s="20"/>
      <c r="I682" s="20"/>
      <c r="J682" s="20"/>
      <c r="Z682" s="20"/>
    </row>
    <row r="683">
      <c r="A683" s="20"/>
      <c r="B683" s="20"/>
      <c r="C683" s="20"/>
      <c r="D683" s="20"/>
      <c r="E683" s="20"/>
      <c r="F683" s="20"/>
      <c r="G683" s="20"/>
      <c r="H683" s="20"/>
      <c r="I683" s="20"/>
      <c r="J683" s="20"/>
      <c r="Z683" s="20"/>
    </row>
    <row r="684">
      <c r="A684" s="20"/>
      <c r="B684" s="20"/>
      <c r="C684" s="20"/>
      <c r="D684" s="20"/>
      <c r="E684" s="20"/>
      <c r="F684" s="20"/>
      <c r="G684" s="20"/>
      <c r="H684" s="20"/>
      <c r="I684" s="20"/>
      <c r="J684" s="20"/>
      <c r="Z684" s="20"/>
    </row>
    <row r="685">
      <c r="A685" s="20"/>
      <c r="B685" s="20"/>
      <c r="C685" s="20"/>
      <c r="D685" s="20"/>
      <c r="E685" s="20"/>
      <c r="F685" s="20"/>
      <c r="G685" s="20"/>
      <c r="H685" s="20"/>
      <c r="I685" s="20"/>
      <c r="J685" s="20"/>
      <c r="Z685" s="20"/>
    </row>
    <row r="686">
      <c r="A686" s="20"/>
      <c r="B686" s="20"/>
      <c r="C686" s="20"/>
      <c r="D686" s="20"/>
      <c r="E686" s="20"/>
      <c r="F686" s="20"/>
      <c r="G686" s="20"/>
      <c r="H686" s="20"/>
      <c r="I686" s="20"/>
      <c r="J686" s="20"/>
      <c r="Z686" s="20"/>
    </row>
    <row r="687">
      <c r="A687" s="20"/>
      <c r="B687" s="20"/>
      <c r="C687" s="20"/>
      <c r="D687" s="20"/>
      <c r="E687" s="20"/>
      <c r="F687" s="20"/>
      <c r="G687" s="20"/>
      <c r="H687" s="20"/>
      <c r="I687" s="20"/>
      <c r="J687" s="20"/>
      <c r="Z687" s="20"/>
    </row>
    <row r="688">
      <c r="A688" s="20"/>
      <c r="B688" s="20"/>
      <c r="C688" s="20"/>
      <c r="D688" s="20"/>
      <c r="E688" s="20"/>
      <c r="F688" s="20"/>
      <c r="G688" s="20"/>
      <c r="H688" s="20"/>
      <c r="I688" s="20"/>
      <c r="J688" s="20"/>
      <c r="Z688" s="20"/>
    </row>
    <row r="689">
      <c r="A689" s="20"/>
      <c r="B689" s="20"/>
      <c r="C689" s="20"/>
      <c r="D689" s="20"/>
      <c r="E689" s="20"/>
      <c r="F689" s="20"/>
      <c r="G689" s="20"/>
      <c r="H689" s="20"/>
      <c r="I689" s="20"/>
      <c r="J689" s="20"/>
      <c r="Z689" s="20"/>
    </row>
    <row r="690">
      <c r="A690" s="20"/>
      <c r="B690" s="20"/>
      <c r="C690" s="20"/>
      <c r="D690" s="20"/>
      <c r="E690" s="20"/>
      <c r="F690" s="20"/>
      <c r="G690" s="20"/>
      <c r="H690" s="20"/>
      <c r="I690" s="20"/>
      <c r="J690" s="20"/>
      <c r="Z690" s="20"/>
    </row>
    <row r="691">
      <c r="A691" s="20"/>
      <c r="B691" s="20"/>
      <c r="C691" s="20"/>
      <c r="D691" s="20"/>
      <c r="E691" s="20"/>
      <c r="F691" s="20"/>
      <c r="G691" s="20"/>
      <c r="H691" s="20"/>
      <c r="I691" s="20"/>
      <c r="J691" s="20"/>
      <c r="Z691" s="20"/>
    </row>
    <row r="692">
      <c r="A692" s="20"/>
      <c r="B692" s="20"/>
      <c r="C692" s="20"/>
      <c r="D692" s="20"/>
      <c r="E692" s="20"/>
      <c r="F692" s="20"/>
      <c r="G692" s="20"/>
      <c r="H692" s="20"/>
      <c r="I692" s="20"/>
      <c r="J692" s="20"/>
      <c r="Z692" s="20"/>
    </row>
    <row r="693">
      <c r="A693" s="20"/>
      <c r="B693" s="20"/>
      <c r="C693" s="20"/>
      <c r="D693" s="20"/>
      <c r="E693" s="20"/>
      <c r="F693" s="20"/>
      <c r="G693" s="20"/>
      <c r="H693" s="20"/>
      <c r="I693" s="20"/>
      <c r="J693" s="20"/>
      <c r="Z693" s="20"/>
    </row>
    <row r="694">
      <c r="A694" s="20"/>
      <c r="B694" s="20"/>
      <c r="C694" s="20"/>
      <c r="D694" s="20"/>
      <c r="E694" s="20"/>
      <c r="F694" s="20"/>
      <c r="G694" s="20"/>
      <c r="H694" s="20"/>
      <c r="I694" s="20"/>
      <c r="J694" s="20"/>
      <c r="Z694" s="20"/>
    </row>
    <row r="695">
      <c r="A695" s="20"/>
      <c r="B695" s="20"/>
      <c r="C695" s="20"/>
      <c r="D695" s="20"/>
      <c r="E695" s="20"/>
      <c r="F695" s="20"/>
      <c r="G695" s="20"/>
      <c r="H695" s="20"/>
      <c r="I695" s="20"/>
      <c r="J695" s="20"/>
      <c r="Z695" s="20"/>
    </row>
    <row r="696">
      <c r="A696" s="20"/>
      <c r="B696" s="20"/>
      <c r="C696" s="20"/>
      <c r="D696" s="20"/>
      <c r="E696" s="20"/>
      <c r="F696" s="20"/>
      <c r="G696" s="20"/>
      <c r="H696" s="20"/>
      <c r="I696" s="20"/>
      <c r="J696" s="20"/>
      <c r="Z696" s="20"/>
    </row>
    <row r="697">
      <c r="A697" s="20"/>
      <c r="B697" s="20"/>
      <c r="C697" s="20"/>
      <c r="D697" s="20"/>
      <c r="E697" s="20"/>
      <c r="F697" s="20"/>
      <c r="G697" s="20"/>
      <c r="H697" s="20"/>
      <c r="I697" s="20"/>
      <c r="J697" s="20"/>
      <c r="Z697" s="20"/>
    </row>
    <row r="698">
      <c r="A698" s="20"/>
      <c r="B698" s="20"/>
      <c r="C698" s="20"/>
      <c r="D698" s="20"/>
      <c r="E698" s="20"/>
      <c r="F698" s="20"/>
      <c r="G698" s="20"/>
      <c r="H698" s="20"/>
      <c r="I698" s="20"/>
      <c r="J698" s="20"/>
      <c r="Z698" s="20"/>
    </row>
    <row r="699">
      <c r="A699" s="20"/>
      <c r="B699" s="20"/>
      <c r="C699" s="20"/>
      <c r="D699" s="20"/>
      <c r="E699" s="20"/>
      <c r="F699" s="20"/>
      <c r="G699" s="20"/>
      <c r="H699" s="20"/>
      <c r="I699" s="20"/>
      <c r="J699" s="20"/>
      <c r="Z699" s="20"/>
    </row>
    <row r="700">
      <c r="A700" s="20"/>
      <c r="B700" s="20"/>
      <c r="C700" s="20"/>
      <c r="D700" s="20"/>
      <c r="E700" s="20"/>
      <c r="F700" s="20"/>
      <c r="G700" s="20"/>
      <c r="H700" s="20"/>
      <c r="I700" s="20"/>
      <c r="J700" s="20"/>
      <c r="Z700" s="20"/>
    </row>
    <row r="701">
      <c r="A701" s="20"/>
      <c r="B701" s="20"/>
      <c r="C701" s="20"/>
      <c r="D701" s="20"/>
      <c r="E701" s="20"/>
      <c r="F701" s="20"/>
      <c r="G701" s="20"/>
      <c r="H701" s="20"/>
      <c r="I701" s="20"/>
      <c r="J701" s="20"/>
      <c r="Z701" s="20"/>
    </row>
    <row r="702">
      <c r="A702" s="20"/>
      <c r="B702" s="20"/>
      <c r="C702" s="20"/>
      <c r="D702" s="20"/>
      <c r="E702" s="20"/>
      <c r="F702" s="20"/>
      <c r="G702" s="20"/>
      <c r="H702" s="20"/>
      <c r="I702" s="20"/>
      <c r="J702" s="20"/>
      <c r="Z702" s="20"/>
    </row>
    <row r="703">
      <c r="A703" s="20"/>
      <c r="B703" s="20"/>
      <c r="C703" s="20"/>
      <c r="D703" s="20"/>
      <c r="E703" s="20"/>
      <c r="F703" s="20"/>
      <c r="G703" s="20"/>
      <c r="H703" s="20"/>
      <c r="I703" s="20"/>
      <c r="J703" s="20"/>
      <c r="Z703" s="20"/>
    </row>
    <row r="704">
      <c r="A704" s="20"/>
      <c r="B704" s="20"/>
      <c r="C704" s="20"/>
      <c r="D704" s="20"/>
      <c r="E704" s="20"/>
      <c r="F704" s="20"/>
      <c r="G704" s="20"/>
      <c r="H704" s="20"/>
      <c r="I704" s="20"/>
      <c r="J704" s="20"/>
      <c r="Z704" s="20"/>
    </row>
    <row r="705">
      <c r="A705" s="20"/>
      <c r="B705" s="20"/>
      <c r="C705" s="20"/>
      <c r="D705" s="20"/>
      <c r="E705" s="20"/>
      <c r="F705" s="20"/>
      <c r="G705" s="20"/>
      <c r="H705" s="20"/>
      <c r="I705" s="20"/>
      <c r="J705" s="20"/>
      <c r="Z705" s="20"/>
    </row>
    <row r="706">
      <c r="A706" s="20"/>
      <c r="B706" s="20"/>
      <c r="C706" s="20"/>
      <c r="D706" s="20"/>
      <c r="E706" s="20"/>
      <c r="F706" s="20"/>
      <c r="G706" s="20"/>
      <c r="H706" s="20"/>
      <c r="I706" s="20"/>
      <c r="J706" s="20"/>
      <c r="Z706" s="20"/>
    </row>
    <row r="707">
      <c r="A707" s="20"/>
      <c r="B707" s="20"/>
      <c r="C707" s="20"/>
      <c r="D707" s="20"/>
      <c r="E707" s="20"/>
      <c r="F707" s="20"/>
      <c r="G707" s="20"/>
      <c r="H707" s="20"/>
      <c r="I707" s="20"/>
      <c r="J707" s="20"/>
      <c r="Z707" s="20"/>
    </row>
    <row r="708">
      <c r="A708" s="20"/>
      <c r="B708" s="20"/>
      <c r="C708" s="20"/>
      <c r="D708" s="20"/>
      <c r="E708" s="20"/>
      <c r="F708" s="20"/>
      <c r="G708" s="20"/>
      <c r="H708" s="20"/>
      <c r="I708" s="20"/>
      <c r="J708" s="20"/>
      <c r="Z708" s="20"/>
    </row>
    <row r="709">
      <c r="A709" s="20"/>
      <c r="B709" s="20"/>
      <c r="C709" s="20"/>
      <c r="D709" s="20"/>
      <c r="E709" s="20"/>
      <c r="F709" s="20"/>
      <c r="G709" s="20"/>
      <c r="H709" s="20"/>
      <c r="I709" s="20"/>
      <c r="J709" s="20"/>
      <c r="Z709" s="20"/>
    </row>
    <row r="710">
      <c r="A710" s="20"/>
      <c r="B710" s="20"/>
      <c r="C710" s="20"/>
      <c r="D710" s="20"/>
      <c r="E710" s="20"/>
      <c r="F710" s="20"/>
      <c r="G710" s="20"/>
      <c r="H710" s="20"/>
      <c r="I710" s="20"/>
      <c r="J710" s="20"/>
      <c r="Z710" s="20"/>
    </row>
    <row r="711">
      <c r="A711" s="20"/>
      <c r="B711" s="20"/>
      <c r="C711" s="20"/>
      <c r="D711" s="20"/>
      <c r="E711" s="20"/>
      <c r="F711" s="20"/>
      <c r="G711" s="20"/>
      <c r="H711" s="20"/>
      <c r="I711" s="20"/>
      <c r="J711" s="20"/>
      <c r="Z711" s="20"/>
    </row>
    <row r="712">
      <c r="A712" s="20"/>
      <c r="B712" s="20"/>
      <c r="C712" s="20"/>
      <c r="D712" s="20"/>
      <c r="E712" s="20"/>
      <c r="F712" s="20"/>
      <c r="G712" s="20"/>
      <c r="H712" s="20"/>
      <c r="I712" s="20"/>
      <c r="J712" s="20"/>
      <c r="Z712" s="20"/>
    </row>
    <row r="713">
      <c r="A713" s="20"/>
      <c r="B713" s="20"/>
      <c r="C713" s="20"/>
      <c r="D713" s="20"/>
      <c r="E713" s="20"/>
      <c r="F713" s="20"/>
      <c r="G713" s="20"/>
      <c r="H713" s="20"/>
      <c r="I713" s="20"/>
      <c r="J713" s="20"/>
      <c r="Z713" s="20"/>
    </row>
    <row r="714">
      <c r="A714" s="20"/>
      <c r="B714" s="20"/>
      <c r="C714" s="20"/>
      <c r="D714" s="20"/>
      <c r="E714" s="20"/>
      <c r="F714" s="20"/>
      <c r="G714" s="20"/>
      <c r="H714" s="20"/>
      <c r="I714" s="20"/>
      <c r="J714" s="20"/>
      <c r="Z714" s="20"/>
    </row>
    <row r="715">
      <c r="A715" s="20"/>
      <c r="B715" s="20"/>
      <c r="C715" s="20"/>
      <c r="D715" s="20"/>
      <c r="E715" s="20"/>
      <c r="F715" s="20"/>
      <c r="G715" s="20"/>
      <c r="H715" s="20"/>
      <c r="I715" s="20"/>
      <c r="J715" s="20"/>
      <c r="Z715" s="20"/>
    </row>
    <row r="716">
      <c r="A716" s="20"/>
      <c r="B716" s="20"/>
      <c r="C716" s="20"/>
      <c r="D716" s="20"/>
      <c r="E716" s="20"/>
      <c r="F716" s="20"/>
      <c r="G716" s="20"/>
      <c r="H716" s="20"/>
      <c r="I716" s="20"/>
      <c r="J716" s="20"/>
      <c r="Z716" s="20"/>
    </row>
    <row r="717">
      <c r="A717" s="20"/>
      <c r="B717" s="20"/>
      <c r="C717" s="20"/>
      <c r="D717" s="20"/>
      <c r="E717" s="20"/>
      <c r="F717" s="20"/>
      <c r="G717" s="20"/>
      <c r="H717" s="20"/>
      <c r="I717" s="20"/>
      <c r="J717" s="20"/>
      <c r="Z717" s="20"/>
    </row>
    <row r="718">
      <c r="A718" s="20"/>
      <c r="B718" s="20"/>
      <c r="C718" s="20"/>
      <c r="D718" s="20"/>
      <c r="E718" s="20"/>
      <c r="F718" s="20"/>
      <c r="G718" s="20"/>
      <c r="H718" s="20"/>
      <c r="I718" s="20"/>
      <c r="J718" s="20"/>
      <c r="Z718" s="20"/>
    </row>
    <row r="719">
      <c r="A719" s="20"/>
      <c r="B719" s="20"/>
      <c r="C719" s="20"/>
      <c r="D719" s="20"/>
      <c r="E719" s="20"/>
      <c r="F719" s="20"/>
      <c r="G719" s="20"/>
      <c r="H719" s="20"/>
      <c r="I719" s="20"/>
      <c r="J719" s="20"/>
      <c r="Z719" s="20"/>
    </row>
    <row r="720">
      <c r="A720" s="20"/>
      <c r="B720" s="20"/>
      <c r="C720" s="20"/>
      <c r="D720" s="20"/>
      <c r="E720" s="20"/>
      <c r="F720" s="20"/>
      <c r="G720" s="20"/>
      <c r="H720" s="20"/>
      <c r="I720" s="20"/>
      <c r="J720" s="20"/>
      <c r="Z720" s="20"/>
    </row>
    <row r="721">
      <c r="A721" s="20"/>
      <c r="B721" s="20"/>
      <c r="C721" s="20"/>
      <c r="D721" s="20"/>
      <c r="E721" s="20"/>
      <c r="F721" s="20"/>
      <c r="G721" s="20"/>
      <c r="H721" s="20"/>
      <c r="I721" s="20"/>
      <c r="J721" s="20"/>
      <c r="Z721" s="20"/>
    </row>
    <row r="722">
      <c r="A722" s="20"/>
      <c r="B722" s="20"/>
      <c r="C722" s="20"/>
      <c r="D722" s="20"/>
      <c r="E722" s="20"/>
      <c r="F722" s="20"/>
      <c r="G722" s="20"/>
      <c r="H722" s="20"/>
      <c r="I722" s="20"/>
      <c r="J722" s="20"/>
      <c r="Z722" s="20"/>
    </row>
    <row r="723">
      <c r="A723" s="20"/>
      <c r="B723" s="20"/>
      <c r="C723" s="20"/>
      <c r="D723" s="20"/>
      <c r="E723" s="20"/>
      <c r="F723" s="20"/>
      <c r="G723" s="20"/>
      <c r="H723" s="20"/>
      <c r="I723" s="20"/>
      <c r="J723" s="20"/>
      <c r="Z723" s="20"/>
    </row>
    <row r="724">
      <c r="A724" s="20"/>
      <c r="B724" s="20"/>
      <c r="C724" s="20"/>
      <c r="D724" s="20"/>
      <c r="E724" s="20"/>
      <c r="F724" s="20"/>
      <c r="G724" s="20"/>
      <c r="H724" s="20"/>
      <c r="I724" s="20"/>
      <c r="J724" s="20"/>
      <c r="Z724" s="20"/>
    </row>
    <row r="725">
      <c r="A725" s="20"/>
      <c r="B725" s="20"/>
      <c r="C725" s="20"/>
      <c r="D725" s="20"/>
      <c r="E725" s="20"/>
      <c r="F725" s="20"/>
      <c r="G725" s="20"/>
      <c r="H725" s="20"/>
      <c r="I725" s="20"/>
      <c r="J725" s="20"/>
      <c r="Z725" s="20"/>
    </row>
    <row r="726">
      <c r="A726" s="20"/>
      <c r="B726" s="20"/>
      <c r="C726" s="20"/>
      <c r="D726" s="20"/>
      <c r="E726" s="20"/>
      <c r="F726" s="20"/>
      <c r="G726" s="20"/>
      <c r="H726" s="20"/>
      <c r="I726" s="20"/>
      <c r="J726" s="20"/>
      <c r="Z726" s="20"/>
    </row>
    <row r="727">
      <c r="A727" s="20"/>
      <c r="B727" s="20"/>
      <c r="C727" s="20"/>
      <c r="D727" s="20"/>
      <c r="E727" s="20"/>
      <c r="F727" s="20"/>
      <c r="G727" s="20"/>
      <c r="H727" s="20"/>
      <c r="I727" s="20"/>
      <c r="J727" s="20"/>
      <c r="Z727" s="20"/>
    </row>
    <row r="728">
      <c r="A728" s="20"/>
      <c r="B728" s="20"/>
      <c r="C728" s="20"/>
      <c r="D728" s="20"/>
      <c r="E728" s="20"/>
      <c r="F728" s="20"/>
      <c r="G728" s="20"/>
      <c r="H728" s="20"/>
      <c r="I728" s="20"/>
      <c r="J728" s="20"/>
      <c r="Z728" s="20"/>
    </row>
    <row r="729">
      <c r="A729" s="20"/>
      <c r="B729" s="20"/>
      <c r="C729" s="20"/>
      <c r="D729" s="20"/>
      <c r="E729" s="20"/>
      <c r="F729" s="20"/>
      <c r="G729" s="20"/>
      <c r="H729" s="20"/>
      <c r="I729" s="20"/>
      <c r="J729" s="20"/>
      <c r="Z729" s="20"/>
    </row>
    <row r="730">
      <c r="A730" s="20"/>
      <c r="B730" s="20"/>
      <c r="C730" s="20"/>
      <c r="D730" s="20"/>
      <c r="E730" s="20"/>
      <c r="F730" s="20"/>
      <c r="G730" s="20"/>
      <c r="H730" s="20"/>
      <c r="I730" s="20"/>
      <c r="J730" s="20"/>
      <c r="Z730" s="20"/>
    </row>
    <row r="731">
      <c r="A731" s="20"/>
      <c r="B731" s="20"/>
      <c r="C731" s="20"/>
      <c r="D731" s="20"/>
      <c r="E731" s="20"/>
      <c r="F731" s="20"/>
      <c r="G731" s="20"/>
      <c r="H731" s="20"/>
      <c r="I731" s="20"/>
      <c r="J731" s="20"/>
      <c r="Z731" s="20"/>
    </row>
    <row r="732">
      <c r="A732" s="20"/>
      <c r="B732" s="20"/>
      <c r="C732" s="20"/>
      <c r="D732" s="20"/>
      <c r="E732" s="20"/>
      <c r="F732" s="20"/>
      <c r="G732" s="20"/>
      <c r="H732" s="20"/>
      <c r="I732" s="20"/>
      <c r="J732" s="20"/>
      <c r="Z732" s="20"/>
    </row>
    <row r="733">
      <c r="A733" s="20"/>
      <c r="B733" s="20"/>
      <c r="C733" s="20"/>
      <c r="D733" s="20"/>
      <c r="E733" s="20"/>
      <c r="F733" s="20"/>
      <c r="G733" s="20"/>
      <c r="H733" s="20"/>
      <c r="I733" s="20"/>
      <c r="J733" s="20"/>
      <c r="Z733" s="20"/>
    </row>
    <row r="734">
      <c r="A734" s="20"/>
      <c r="B734" s="20"/>
      <c r="C734" s="20"/>
      <c r="D734" s="20"/>
      <c r="E734" s="20"/>
      <c r="F734" s="20"/>
      <c r="G734" s="20"/>
      <c r="H734" s="20"/>
      <c r="I734" s="20"/>
      <c r="J734" s="20"/>
      <c r="Z734" s="20"/>
    </row>
    <row r="735">
      <c r="A735" s="20"/>
      <c r="B735" s="20"/>
      <c r="C735" s="20"/>
      <c r="D735" s="20"/>
      <c r="E735" s="20"/>
      <c r="F735" s="20"/>
      <c r="G735" s="20"/>
      <c r="H735" s="20"/>
      <c r="I735" s="20"/>
      <c r="J735" s="20"/>
      <c r="Z735" s="20"/>
    </row>
    <row r="736">
      <c r="A736" s="20"/>
      <c r="B736" s="20"/>
      <c r="C736" s="20"/>
      <c r="D736" s="20"/>
      <c r="E736" s="20"/>
      <c r="F736" s="20"/>
      <c r="G736" s="20"/>
      <c r="H736" s="20"/>
      <c r="I736" s="20"/>
      <c r="J736" s="20"/>
      <c r="Z736" s="20"/>
    </row>
    <row r="737">
      <c r="A737" s="20"/>
      <c r="B737" s="20"/>
      <c r="C737" s="20"/>
      <c r="D737" s="20"/>
      <c r="E737" s="20"/>
      <c r="F737" s="20"/>
      <c r="G737" s="20"/>
      <c r="H737" s="20"/>
      <c r="I737" s="20"/>
      <c r="J737" s="20"/>
      <c r="Z737" s="20"/>
    </row>
    <row r="738">
      <c r="A738" s="20"/>
      <c r="B738" s="20"/>
      <c r="C738" s="20"/>
      <c r="D738" s="20"/>
      <c r="E738" s="20"/>
      <c r="F738" s="20"/>
      <c r="G738" s="20"/>
      <c r="H738" s="20"/>
      <c r="I738" s="20"/>
      <c r="J738" s="20"/>
      <c r="Z738" s="20"/>
    </row>
    <row r="739">
      <c r="A739" s="20"/>
      <c r="B739" s="20"/>
      <c r="C739" s="20"/>
      <c r="D739" s="20"/>
      <c r="E739" s="20"/>
      <c r="F739" s="20"/>
      <c r="G739" s="20"/>
      <c r="H739" s="20"/>
      <c r="I739" s="20"/>
      <c r="J739" s="20"/>
      <c r="Z739" s="20"/>
    </row>
    <row r="740">
      <c r="A740" s="20"/>
      <c r="B740" s="20"/>
      <c r="C740" s="20"/>
      <c r="D740" s="20"/>
      <c r="E740" s="20"/>
      <c r="F740" s="20"/>
      <c r="G740" s="20"/>
      <c r="H740" s="20"/>
      <c r="I740" s="20"/>
      <c r="J740" s="20"/>
      <c r="Z740" s="20"/>
    </row>
    <row r="741">
      <c r="A741" s="20"/>
      <c r="B741" s="20"/>
      <c r="C741" s="20"/>
      <c r="D741" s="20"/>
      <c r="E741" s="20"/>
      <c r="F741" s="20"/>
      <c r="G741" s="20"/>
      <c r="H741" s="20"/>
      <c r="I741" s="20"/>
      <c r="J741" s="20"/>
      <c r="Z741" s="20"/>
    </row>
    <row r="742">
      <c r="A742" s="20"/>
      <c r="B742" s="20"/>
      <c r="C742" s="20"/>
      <c r="D742" s="20"/>
      <c r="E742" s="20"/>
      <c r="F742" s="20"/>
      <c r="G742" s="20"/>
      <c r="H742" s="20"/>
      <c r="I742" s="20"/>
      <c r="J742" s="20"/>
      <c r="Z742" s="20"/>
    </row>
    <row r="743">
      <c r="A743" s="20"/>
      <c r="B743" s="20"/>
      <c r="C743" s="20"/>
      <c r="D743" s="20"/>
      <c r="E743" s="20"/>
      <c r="F743" s="20"/>
      <c r="G743" s="20"/>
      <c r="H743" s="20"/>
      <c r="I743" s="20"/>
      <c r="J743" s="20"/>
      <c r="Z743" s="20"/>
    </row>
    <row r="744">
      <c r="A744" s="20"/>
      <c r="B744" s="20"/>
      <c r="C744" s="20"/>
      <c r="D744" s="20"/>
      <c r="E744" s="20"/>
      <c r="F744" s="20"/>
      <c r="G744" s="20"/>
      <c r="H744" s="20"/>
      <c r="I744" s="20"/>
      <c r="J744" s="20"/>
      <c r="Z744" s="20"/>
    </row>
    <row r="745">
      <c r="A745" s="20"/>
      <c r="B745" s="20"/>
      <c r="C745" s="20"/>
      <c r="D745" s="20"/>
      <c r="E745" s="20"/>
      <c r="F745" s="20"/>
      <c r="G745" s="20"/>
      <c r="H745" s="20"/>
      <c r="I745" s="20"/>
      <c r="J745" s="20"/>
      <c r="Z745" s="20"/>
    </row>
    <row r="746">
      <c r="A746" s="20"/>
      <c r="B746" s="20"/>
      <c r="C746" s="20"/>
      <c r="D746" s="20"/>
      <c r="E746" s="20"/>
      <c r="F746" s="20"/>
      <c r="G746" s="20"/>
      <c r="H746" s="20"/>
      <c r="I746" s="20"/>
      <c r="J746" s="20"/>
      <c r="Z746" s="20"/>
    </row>
    <row r="747">
      <c r="A747" s="20"/>
      <c r="B747" s="20"/>
      <c r="C747" s="20"/>
      <c r="D747" s="20"/>
      <c r="E747" s="20"/>
      <c r="F747" s="20"/>
      <c r="G747" s="20"/>
      <c r="H747" s="20"/>
      <c r="I747" s="20"/>
      <c r="J747" s="20"/>
      <c r="Z747" s="20"/>
    </row>
    <row r="748">
      <c r="A748" s="20"/>
      <c r="B748" s="20"/>
      <c r="C748" s="20"/>
      <c r="D748" s="20"/>
      <c r="E748" s="20"/>
      <c r="F748" s="20"/>
      <c r="G748" s="20"/>
      <c r="H748" s="20"/>
      <c r="I748" s="20"/>
      <c r="J748" s="20"/>
      <c r="Z748" s="20"/>
    </row>
    <row r="749">
      <c r="A749" s="20"/>
      <c r="B749" s="20"/>
      <c r="C749" s="20"/>
      <c r="D749" s="20"/>
      <c r="E749" s="20"/>
      <c r="F749" s="20"/>
      <c r="G749" s="20"/>
      <c r="H749" s="20"/>
      <c r="I749" s="20"/>
      <c r="J749" s="20"/>
      <c r="Z749" s="20"/>
    </row>
    <row r="750">
      <c r="A750" s="20"/>
      <c r="B750" s="20"/>
      <c r="C750" s="20"/>
      <c r="D750" s="20"/>
      <c r="E750" s="20"/>
      <c r="F750" s="20"/>
      <c r="G750" s="20"/>
      <c r="H750" s="20"/>
      <c r="I750" s="20"/>
      <c r="J750" s="20"/>
      <c r="Z750" s="20"/>
    </row>
    <row r="751">
      <c r="A751" s="20"/>
      <c r="B751" s="20"/>
      <c r="C751" s="20"/>
      <c r="D751" s="20"/>
      <c r="E751" s="20"/>
      <c r="F751" s="20"/>
      <c r="G751" s="20"/>
      <c r="H751" s="20"/>
      <c r="I751" s="20"/>
      <c r="J751" s="20"/>
      <c r="Z751" s="20"/>
    </row>
    <row r="752">
      <c r="A752" s="20"/>
      <c r="B752" s="20"/>
      <c r="C752" s="20"/>
      <c r="D752" s="20"/>
      <c r="E752" s="20"/>
      <c r="F752" s="20"/>
      <c r="G752" s="20"/>
      <c r="H752" s="20"/>
      <c r="I752" s="20"/>
      <c r="J752" s="20"/>
      <c r="Z752" s="20"/>
    </row>
    <row r="753">
      <c r="A753" s="20"/>
      <c r="B753" s="20"/>
      <c r="C753" s="20"/>
      <c r="D753" s="20"/>
      <c r="E753" s="20"/>
      <c r="F753" s="20"/>
      <c r="G753" s="20"/>
      <c r="H753" s="20"/>
      <c r="I753" s="20"/>
      <c r="J753" s="20"/>
      <c r="Z753" s="20"/>
    </row>
    <row r="754">
      <c r="A754" s="20"/>
      <c r="B754" s="20"/>
      <c r="C754" s="20"/>
      <c r="D754" s="20"/>
      <c r="E754" s="20"/>
      <c r="F754" s="20"/>
      <c r="G754" s="20"/>
      <c r="H754" s="20"/>
      <c r="I754" s="20"/>
      <c r="J754" s="20"/>
      <c r="Z754" s="20"/>
    </row>
    <row r="755">
      <c r="A755" s="20"/>
      <c r="B755" s="20"/>
      <c r="C755" s="20"/>
      <c r="D755" s="20"/>
      <c r="E755" s="20"/>
      <c r="F755" s="20"/>
      <c r="G755" s="20"/>
      <c r="H755" s="20"/>
      <c r="I755" s="20"/>
      <c r="J755" s="20"/>
      <c r="Z755" s="20"/>
    </row>
    <row r="756">
      <c r="A756" s="20"/>
      <c r="B756" s="20"/>
      <c r="C756" s="20"/>
      <c r="D756" s="20"/>
      <c r="E756" s="20"/>
      <c r="F756" s="20"/>
      <c r="G756" s="20"/>
      <c r="H756" s="20"/>
      <c r="I756" s="20"/>
      <c r="J756" s="20"/>
      <c r="Z756" s="20"/>
    </row>
    <row r="757">
      <c r="A757" s="20"/>
      <c r="B757" s="20"/>
      <c r="C757" s="20"/>
      <c r="D757" s="20"/>
      <c r="E757" s="20"/>
      <c r="F757" s="20"/>
      <c r="G757" s="20"/>
      <c r="H757" s="20"/>
      <c r="I757" s="20"/>
      <c r="J757" s="20"/>
      <c r="Z757" s="20"/>
    </row>
    <row r="758">
      <c r="A758" s="20"/>
      <c r="B758" s="20"/>
      <c r="C758" s="20"/>
      <c r="D758" s="20"/>
      <c r="E758" s="20"/>
      <c r="F758" s="20"/>
      <c r="G758" s="20"/>
      <c r="H758" s="20"/>
      <c r="I758" s="20"/>
      <c r="J758" s="20"/>
      <c r="Z758" s="20"/>
    </row>
    <row r="759">
      <c r="A759" s="20"/>
      <c r="B759" s="20"/>
      <c r="C759" s="20"/>
      <c r="D759" s="20"/>
      <c r="E759" s="20"/>
      <c r="F759" s="20"/>
      <c r="G759" s="20"/>
      <c r="H759" s="20"/>
      <c r="I759" s="20"/>
      <c r="J759" s="20"/>
      <c r="Z759" s="20"/>
    </row>
    <row r="760">
      <c r="A760" s="20"/>
      <c r="B760" s="20"/>
      <c r="C760" s="20"/>
      <c r="D760" s="20"/>
      <c r="E760" s="20"/>
      <c r="F760" s="20"/>
      <c r="G760" s="20"/>
      <c r="H760" s="20"/>
      <c r="I760" s="20"/>
      <c r="J760" s="20"/>
      <c r="Z760" s="20"/>
    </row>
    <row r="761">
      <c r="A761" s="20"/>
      <c r="B761" s="20"/>
      <c r="C761" s="20"/>
      <c r="D761" s="20"/>
      <c r="E761" s="20"/>
      <c r="F761" s="20"/>
      <c r="G761" s="20"/>
      <c r="H761" s="20"/>
      <c r="I761" s="20"/>
      <c r="J761" s="20"/>
      <c r="Z761" s="20"/>
    </row>
    <row r="762">
      <c r="A762" s="20"/>
      <c r="B762" s="20"/>
      <c r="C762" s="20"/>
      <c r="D762" s="20"/>
      <c r="E762" s="20"/>
      <c r="F762" s="20"/>
      <c r="G762" s="20"/>
      <c r="H762" s="20"/>
      <c r="I762" s="20"/>
      <c r="J762" s="20"/>
      <c r="Z762" s="20"/>
    </row>
    <row r="763">
      <c r="A763" s="20"/>
      <c r="B763" s="20"/>
      <c r="C763" s="20"/>
      <c r="D763" s="20"/>
      <c r="E763" s="20"/>
      <c r="F763" s="20"/>
      <c r="G763" s="20"/>
      <c r="H763" s="20"/>
      <c r="I763" s="20"/>
      <c r="J763" s="20"/>
      <c r="Z763" s="20"/>
    </row>
    <row r="764">
      <c r="A764" s="20"/>
      <c r="B764" s="20"/>
      <c r="C764" s="20"/>
      <c r="D764" s="20"/>
      <c r="E764" s="20"/>
      <c r="F764" s="20"/>
      <c r="G764" s="20"/>
      <c r="H764" s="20"/>
      <c r="I764" s="20"/>
      <c r="J764" s="20"/>
      <c r="Z764" s="20"/>
    </row>
    <row r="765">
      <c r="A765" s="20"/>
      <c r="B765" s="20"/>
      <c r="C765" s="20"/>
      <c r="D765" s="20"/>
      <c r="E765" s="20"/>
      <c r="F765" s="20"/>
      <c r="G765" s="20"/>
      <c r="H765" s="20"/>
      <c r="I765" s="20"/>
      <c r="J765" s="20"/>
      <c r="Z765" s="20"/>
    </row>
    <row r="766">
      <c r="A766" s="20"/>
      <c r="B766" s="20"/>
      <c r="C766" s="20"/>
      <c r="D766" s="20"/>
      <c r="E766" s="20"/>
      <c r="F766" s="20"/>
      <c r="G766" s="20"/>
      <c r="H766" s="20"/>
      <c r="I766" s="20"/>
      <c r="J766" s="20"/>
      <c r="Z766" s="20"/>
    </row>
    <row r="767">
      <c r="A767" s="20"/>
      <c r="B767" s="20"/>
      <c r="C767" s="20"/>
      <c r="D767" s="20"/>
      <c r="E767" s="20"/>
      <c r="F767" s="20"/>
      <c r="G767" s="20"/>
      <c r="H767" s="20"/>
      <c r="I767" s="20"/>
      <c r="J767" s="20"/>
      <c r="Z767" s="20"/>
    </row>
    <row r="768">
      <c r="A768" s="20"/>
      <c r="B768" s="20"/>
      <c r="C768" s="20"/>
      <c r="D768" s="20"/>
      <c r="E768" s="20"/>
      <c r="F768" s="20"/>
      <c r="G768" s="20"/>
      <c r="H768" s="20"/>
      <c r="I768" s="20"/>
      <c r="J768" s="20"/>
      <c r="Z768" s="20"/>
    </row>
    <row r="769">
      <c r="A769" s="20"/>
      <c r="B769" s="20"/>
      <c r="C769" s="20"/>
      <c r="D769" s="20"/>
      <c r="E769" s="20"/>
      <c r="F769" s="20"/>
      <c r="G769" s="20"/>
      <c r="H769" s="20"/>
      <c r="I769" s="20"/>
      <c r="J769" s="20"/>
      <c r="Z769" s="20"/>
    </row>
    <row r="770">
      <c r="A770" s="20"/>
      <c r="B770" s="20"/>
      <c r="C770" s="20"/>
      <c r="D770" s="20"/>
      <c r="E770" s="20"/>
      <c r="F770" s="20"/>
      <c r="G770" s="20"/>
      <c r="H770" s="20"/>
      <c r="I770" s="20"/>
      <c r="J770" s="20"/>
      <c r="Z770" s="20"/>
    </row>
    <row r="771">
      <c r="A771" s="20"/>
      <c r="B771" s="20"/>
      <c r="C771" s="20"/>
      <c r="D771" s="20"/>
      <c r="E771" s="20"/>
      <c r="F771" s="20"/>
      <c r="G771" s="20"/>
      <c r="H771" s="20"/>
      <c r="I771" s="20"/>
      <c r="J771" s="20"/>
      <c r="Z771" s="20"/>
    </row>
    <row r="772">
      <c r="A772" s="20"/>
      <c r="B772" s="20"/>
      <c r="C772" s="20"/>
      <c r="D772" s="20"/>
      <c r="E772" s="20"/>
      <c r="F772" s="20"/>
      <c r="G772" s="20"/>
      <c r="H772" s="20"/>
      <c r="I772" s="20"/>
      <c r="J772" s="20"/>
      <c r="Z772" s="20"/>
    </row>
    <row r="773">
      <c r="A773" s="20"/>
      <c r="B773" s="20"/>
      <c r="C773" s="20"/>
      <c r="D773" s="20"/>
      <c r="E773" s="20"/>
      <c r="F773" s="20"/>
      <c r="G773" s="20"/>
      <c r="H773" s="20"/>
      <c r="I773" s="20"/>
      <c r="J773" s="20"/>
      <c r="Z773" s="20"/>
    </row>
    <row r="774">
      <c r="A774" s="20"/>
      <c r="B774" s="20"/>
      <c r="C774" s="20"/>
      <c r="D774" s="20"/>
      <c r="E774" s="20"/>
      <c r="F774" s="20"/>
      <c r="G774" s="20"/>
      <c r="H774" s="20"/>
      <c r="I774" s="20"/>
      <c r="J774" s="20"/>
      <c r="Z774" s="20"/>
    </row>
    <row r="775">
      <c r="A775" s="20"/>
      <c r="B775" s="20"/>
      <c r="C775" s="20"/>
      <c r="D775" s="20"/>
      <c r="E775" s="20"/>
      <c r="F775" s="20"/>
      <c r="G775" s="20"/>
      <c r="H775" s="20"/>
      <c r="I775" s="20"/>
      <c r="J775" s="20"/>
      <c r="Z775" s="20"/>
    </row>
    <row r="776">
      <c r="A776" s="20"/>
      <c r="B776" s="20"/>
      <c r="C776" s="20"/>
      <c r="D776" s="20"/>
      <c r="E776" s="20"/>
      <c r="F776" s="20"/>
      <c r="G776" s="20"/>
      <c r="H776" s="20"/>
      <c r="I776" s="20"/>
      <c r="J776" s="20"/>
      <c r="Z776" s="20"/>
    </row>
    <row r="777">
      <c r="A777" s="20"/>
      <c r="B777" s="20"/>
      <c r="C777" s="20"/>
      <c r="D777" s="20"/>
      <c r="E777" s="20"/>
      <c r="F777" s="20"/>
      <c r="G777" s="20"/>
      <c r="H777" s="20"/>
      <c r="I777" s="20"/>
      <c r="J777" s="20"/>
      <c r="Z777" s="20"/>
    </row>
    <row r="778">
      <c r="A778" s="20"/>
      <c r="B778" s="20"/>
      <c r="C778" s="20"/>
      <c r="D778" s="20"/>
      <c r="E778" s="20"/>
      <c r="F778" s="20"/>
      <c r="G778" s="20"/>
      <c r="H778" s="20"/>
      <c r="I778" s="20"/>
      <c r="J778" s="20"/>
      <c r="Z778" s="20"/>
    </row>
    <row r="779">
      <c r="A779" s="20"/>
      <c r="B779" s="20"/>
      <c r="C779" s="20"/>
      <c r="D779" s="20"/>
      <c r="E779" s="20"/>
      <c r="F779" s="20"/>
      <c r="G779" s="20"/>
      <c r="H779" s="20"/>
      <c r="I779" s="20"/>
      <c r="J779" s="20"/>
      <c r="Z779" s="20"/>
    </row>
    <row r="780">
      <c r="A780" s="20"/>
      <c r="B780" s="20"/>
      <c r="C780" s="20"/>
      <c r="D780" s="20"/>
      <c r="E780" s="20"/>
      <c r="F780" s="20"/>
      <c r="G780" s="20"/>
      <c r="H780" s="20"/>
      <c r="I780" s="20"/>
      <c r="J780" s="20"/>
      <c r="Z780" s="20"/>
    </row>
    <row r="781">
      <c r="A781" s="20"/>
      <c r="B781" s="20"/>
      <c r="C781" s="20"/>
      <c r="D781" s="20"/>
      <c r="E781" s="20"/>
      <c r="F781" s="20"/>
      <c r="G781" s="20"/>
      <c r="H781" s="20"/>
      <c r="I781" s="20"/>
      <c r="J781" s="20"/>
      <c r="Z781" s="20"/>
    </row>
    <row r="782">
      <c r="A782" s="20"/>
      <c r="B782" s="20"/>
      <c r="C782" s="20"/>
      <c r="D782" s="20"/>
      <c r="E782" s="20"/>
      <c r="F782" s="20"/>
      <c r="G782" s="20"/>
      <c r="H782" s="20"/>
      <c r="I782" s="20"/>
      <c r="J782" s="20"/>
      <c r="Z782" s="20"/>
    </row>
    <row r="783">
      <c r="A783" s="20"/>
      <c r="B783" s="20"/>
      <c r="C783" s="20"/>
      <c r="D783" s="20"/>
      <c r="E783" s="20"/>
      <c r="F783" s="20"/>
      <c r="G783" s="20"/>
      <c r="H783" s="20"/>
      <c r="I783" s="20"/>
      <c r="J783" s="20"/>
      <c r="Z783" s="20"/>
    </row>
    <row r="784">
      <c r="A784" s="20"/>
      <c r="B784" s="20"/>
      <c r="C784" s="20"/>
      <c r="D784" s="20"/>
      <c r="E784" s="20"/>
      <c r="F784" s="20"/>
      <c r="G784" s="20"/>
      <c r="H784" s="20"/>
      <c r="I784" s="20"/>
      <c r="J784" s="20"/>
      <c r="Z784" s="20"/>
    </row>
    <row r="785">
      <c r="A785" s="20"/>
      <c r="B785" s="20"/>
      <c r="C785" s="20"/>
      <c r="D785" s="20"/>
      <c r="E785" s="20"/>
      <c r="F785" s="20"/>
      <c r="G785" s="20"/>
      <c r="H785" s="20"/>
      <c r="I785" s="20"/>
      <c r="J785" s="20"/>
      <c r="Z785" s="20"/>
    </row>
    <row r="786">
      <c r="A786" s="20"/>
      <c r="B786" s="20"/>
      <c r="C786" s="20"/>
      <c r="D786" s="20"/>
      <c r="E786" s="20"/>
      <c r="F786" s="20"/>
      <c r="G786" s="20"/>
      <c r="H786" s="20"/>
      <c r="I786" s="20"/>
      <c r="J786" s="20"/>
      <c r="Z786" s="20"/>
    </row>
    <row r="787">
      <c r="A787" s="20"/>
      <c r="B787" s="20"/>
      <c r="C787" s="20"/>
      <c r="D787" s="20"/>
      <c r="E787" s="20"/>
      <c r="F787" s="20"/>
      <c r="G787" s="20"/>
      <c r="H787" s="20"/>
      <c r="I787" s="20"/>
      <c r="J787" s="20"/>
      <c r="Z787" s="20"/>
    </row>
    <row r="788">
      <c r="A788" s="20"/>
      <c r="B788" s="20"/>
      <c r="C788" s="20"/>
      <c r="D788" s="20"/>
      <c r="E788" s="20"/>
      <c r="F788" s="20"/>
      <c r="G788" s="20"/>
      <c r="H788" s="20"/>
      <c r="I788" s="20"/>
      <c r="J788" s="20"/>
      <c r="Z788" s="20"/>
    </row>
    <row r="789">
      <c r="A789" s="20"/>
      <c r="B789" s="20"/>
      <c r="C789" s="20"/>
      <c r="D789" s="20"/>
      <c r="E789" s="20"/>
      <c r="F789" s="20"/>
      <c r="G789" s="20"/>
      <c r="H789" s="20"/>
      <c r="I789" s="20"/>
      <c r="J789" s="20"/>
      <c r="Z789" s="20"/>
    </row>
    <row r="790">
      <c r="A790" s="20"/>
      <c r="B790" s="20"/>
      <c r="C790" s="20"/>
      <c r="D790" s="20"/>
      <c r="E790" s="20"/>
      <c r="F790" s="20"/>
      <c r="G790" s="20"/>
      <c r="H790" s="20"/>
      <c r="I790" s="20"/>
      <c r="J790" s="20"/>
      <c r="Z790" s="20"/>
    </row>
    <row r="791">
      <c r="A791" s="20"/>
      <c r="B791" s="20"/>
      <c r="C791" s="20"/>
      <c r="D791" s="20"/>
      <c r="E791" s="20"/>
      <c r="F791" s="20"/>
      <c r="G791" s="20"/>
      <c r="H791" s="20"/>
      <c r="I791" s="20"/>
      <c r="J791" s="20"/>
      <c r="Z791" s="20"/>
    </row>
    <row r="792">
      <c r="A792" s="20"/>
      <c r="B792" s="20"/>
      <c r="C792" s="20"/>
      <c r="D792" s="20"/>
      <c r="E792" s="20"/>
      <c r="F792" s="20"/>
      <c r="G792" s="20"/>
      <c r="H792" s="20"/>
      <c r="I792" s="20"/>
      <c r="J792" s="20"/>
      <c r="Z792" s="20"/>
    </row>
    <row r="793">
      <c r="A793" s="20"/>
      <c r="B793" s="20"/>
      <c r="C793" s="20"/>
      <c r="D793" s="20"/>
      <c r="E793" s="20"/>
      <c r="F793" s="20"/>
      <c r="G793" s="20"/>
      <c r="H793" s="20"/>
      <c r="I793" s="20"/>
      <c r="J793" s="20"/>
      <c r="Z793" s="20"/>
    </row>
    <row r="794">
      <c r="A794" s="20"/>
      <c r="B794" s="20"/>
      <c r="C794" s="20"/>
      <c r="D794" s="20"/>
      <c r="E794" s="20"/>
      <c r="F794" s="20"/>
      <c r="G794" s="20"/>
      <c r="H794" s="20"/>
      <c r="I794" s="20"/>
      <c r="J794" s="20"/>
      <c r="Z794" s="20"/>
    </row>
    <row r="795">
      <c r="A795" s="20"/>
      <c r="B795" s="20"/>
      <c r="C795" s="20"/>
      <c r="D795" s="20"/>
      <c r="E795" s="20"/>
      <c r="F795" s="20"/>
      <c r="G795" s="20"/>
      <c r="H795" s="20"/>
      <c r="I795" s="20"/>
      <c r="J795" s="20"/>
      <c r="Z795" s="20"/>
    </row>
    <row r="796">
      <c r="A796" s="20"/>
      <c r="B796" s="20"/>
      <c r="C796" s="20"/>
      <c r="D796" s="20"/>
      <c r="E796" s="20"/>
      <c r="F796" s="20"/>
      <c r="G796" s="20"/>
      <c r="H796" s="20"/>
      <c r="I796" s="20"/>
      <c r="J796" s="20"/>
      <c r="Z796" s="20"/>
    </row>
    <row r="797">
      <c r="A797" s="20"/>
      <c r="B797" s="20"/>
      <c r="C797" s="20"/>
      <c r="D797" s="20"/>
      <c r="E797" s="20"/>
      <c r="F797" s="20"/>
      <c r="G797" s="20"/>
      <c r="H797" s="20"/>
      <c r="I797" s="20"/>
      <c r="J797" s="20"/>
      <c r="Z797" s="20"/>
    </row>
    <row r="798">
      <c r="A798" s="20"/>
      <c r="B798" s="20"/>
      <c r="C798" s="20"/>
      <c r="D798" s="20"/>
      <c r="E798" s="20"/>
      <c r="F798" s="20"/>
      <c r="G798" s="20"/>
      <c r="H798" s="20"/>
      <c r="I798" s="20"/>
      <c r="J798" s="20"/>
      <c r="Z798" s="20"/>
    </row>
    <row r="799">
      <c r="A799" s="20"/>
      <c r="B799" s="20"/>
      <c r="C799" s="20"/>
      <c r="D799" s="20"/>
      <c r="E799" s="20"/>
      <c r="F799" s="20"/>
      <c r="G799" s="20"/>
      <c r="H799" s="20"/>
      <c r="I799" s="20"/>
      <c r="J799" s="20"/>
      <c r="Z799" s="20"/>
    </row>
    <row r="800">
      <c r="A800" s="20"/>
      <c r="B800" s="20"/>
      <c r="C800" s="20"/>
      <c r="D800" s="20"/>
      <c r="E800" s="20"/>
      <c r="F800" s="20"/>
      <c r="G800" s="20"/>
      <c r="H800" s="20"/>
      <c r="I800" s="20"/>
      <c r="J800" s="20"/>
      <c r="Z800" s="20"/>
    </row>
    <row r="801">
      <c r="A801" s="20"/>
      <c r="B801" s="20"/>
      <c r="C801" s="20"/>
      <c r="D801" s="20"/>
      <c r="E801" s="20"/>
      <c r="F801" s="20"/>
      <c r="G801" s="20"/>
      <c r="H801" s="20"/>
      <c r="I801" s="20"/>
      <c r="J801" s="20"/>
      <c r="Z801" s="20"/>
    </row>
    <row r="802">
      <c r="A802" s="20"/>
      <c r="B802" s="20"/>
      <c r="C802" s="20"/>
      <c r="D802" s="20"/>
      <c r="E802" s="20"/>
      <c r="F802" s="20"/>
      <c r="G802" s="20"/>
      <c r="H802" s="20"/>
      <c r="I802" s="20"/>
      <c r="J802" s="20"/>
      <c r="Z802" s="20"/>
    </row>
    <row r="803">
      <c r="A803" s="20"/>
      <c r="B803" s="20"/>
      <c r="C803" s="20"/>
      <c r="D803" s="20"/>
      <c r="E803" s="20"/>
      <c r="F803" s="20"/>
      <c r="G803" s="20"/>
      <c r="H803" s="20"/>
      <c r="I803" s="20"/>
      <c r="J803" s="20"/>
      <c r="Z803" s="20"/>
    </row>
    <row r="804">
      <c r="A804" s="20"/>
      <c r="B804" s="20"/>
      <c r="C804" s="20"/>
      <c r="D804" s="20"/>
      <c r="E804" s="20"/>
      <c r="F804" s="20"/>
      <c r="G804" s="20"/>
      <c r="H804" s="20"/>
      <c r="I804" s="20"/>
      <c r="J804" s="20"/>
      <c r="Z804" s="20"/>
    </row>
    <row r="805">
      <c r="A805" s="20"/>
      <c r="B805" s="20"/>
      <c r="C805" s="20"/>
      <c r="D805" s="20"/>
      <c r="E805" s="20"/>
      <c r="F805" s="20"/>
      <c r="G805" s="20"/>
      <c r="H805" s="20"/>
      <c r="I805" s="20"/>
      <c r="J805" s="20"/>
      <c r="Z805" s="20"/>
    </row>
    <row r="806">
      <c r="A806" s="20"/>
      <c r="B806" s="20"/>
      <c r="C806" s="20"/>
      <c r="D806" s="20"/>
      <c r="E806" s="20"/>
      <c r="F806" s="20"/>
      <c r="G806" s="20"/>
      <c r="H806" s="20"/>
      <c r="I806" s="20"/>
      <c r="J806" s="20"/>
      <c r="Z806" s="20"/>
    </row>
    <row r="807">
      <c r="A807" s="20"/>
      <c r="B807" s="20"/>
      <c r="C807" s="20"/>
      <c r="D807" s="20"/>
      <c r="E807" s="20"/>
      <c r="F807" s="20"/>
      <c r="G807" s="20"/>
      <c r="H807" s="20"/>
      <c r="I807" s="20"/>
      <c r="J807" s="20"/>
      <c r="Z807" s="20"/>
    </row>
    <row r="808">
      <c r="A808" s="20"/>
      <c r="B808" s="20"/>
      <c r="C808" s="20"/>
      <c r="D808" s="20"/>
      <c r="E808" s="20"/>
      <c r="F808" s="20"/>
      <c r="G808" s="20"/>
      <c r="H808" s="20"/>
      <c r="I808" s="20"/>
      <c r="J808" s="20"/>
      <c r="Z808" s="20"/>
    </row>
    <row r="809">
      <c r="A809" s="20"/>
      <c r="B809" s="20"/>
      <c r="C809" s="20"/>
      <c r="D809" s="20"/>
      <c r="E809" s="20"/>
      <c r="F809" s="20"/>
      <c r="G809" s="20"/>
      <c r="H809" s="20"/>
      <c r="I809" s="20"/>
      <c r="J809" s="20"/>
      <c r="Z809" s="20"/>
    </row>
    <row r="810">
      <c r="A810" s="20"/>
      <c r="B810" s="20"/>
      <c r="C810" s="20"/>
      <c r="D810" s="20"/>
      <c r="E810" s="20"/>
      <c r="F810" s="20"/>
      <c r="G810" s="20"/>
      <c r="H810" s="20"/>
      <c r="I810" s="20"/>
      <c r="J810" s="20"/>
      <c r="Z810" s="20"/>
    </row>
    <row r="811">
      <c r="A811" s="20"/>
      <c r="B811" s="20"/>
      <c r="C811" s="20"/>
      <c r="D811" s="20"/>
      <c r="E811" s="20"/>
      <c r="F811" s="20"/>
      <c r="G811" s="20"/>
      <c r="H811" s="20"/>
      <c r="I811" s="20"/>
      <c r="J811" s="20"/>
      <c r="Z811" s="20"/>
    </row>
    <row r="812">
      <c r="A812" s="20"/>
      <c r="B812" s="20"/>
      <c r="C812" s="20"/>
      <c r="D812" s="20"/>
      <c r="E812" s="20"/>
      <c r="F812" s="20"/>
      <c r="G812" s="20"/>
      <c r="H812" s="20"/>
      <c r="I812" s="20"/>
      <c r="J812" s="20"/>
      <c r="Z812" s="20"/>
    </row>
    <row r="813">
      <c r="A813" s="20"/>
      <c r="B813" s="20"/>
      <c r="C813" s="20"/>
      <c r="D813" s="20"/>
      <c r="E813" s="20"/>
      <c r="F813" s="20"/>
      <c r="G813" s="20"/>
      <c r="H813" s="20"/>
      <c r="I813" s="20"/>
      <c r="J813" s="20"/>
      <c r="Z813" s="20"/>
    </row>
    <row r="814">
      <c r="A814" s="20"/>
      <c r="B814" s="20"/>
      <c r="C814" s="20"/>
      <c r="D814" s="20"/>
      <c r="E814" s="20"/>
      <c r="F814" s="20"/>
      <c r="G814" s="20"/>
      <c r="H814" s="20"/>
      <c r="I814" s="20"/>
      <c r="J814" s="20"/>
      <c r="Z814" s="20"/>
    </row>
    <row r="815">
      <c r="A815" s="20"/>
      <c r="B815" s="20"/>
      <c r="C815" s="20"/>
      <c r="D815" s="20"/>
      <c r="E815" s="20"/>
      <c r="F815" s="20"/>
      <c r="G815" s="20"/>
      <c r="H815" s="20"/>
      <c r="I815" s="20"/>
      <c r="J815" s="20"/>
      <c r="Z815" s="20"/>
    </row>
    <row r="816">
      <c r="A816" s="20"/>
      <c r="B816" s="20"/>
      <c r="C816" s="20"/>
      <c r="D816" s="20"/>
      <c r="E816" s="20"/>
      <c r="F816" s="20"/>
      <c r="G816" s="20"/>
      <c r="H816" s="20"/>
      <c r="I816" s="20"/>
      <c r="J816" s="20"/>
      <c r="Z816" s="20"/>
    </row>
    <row r="817">
      <c r="A817" s="20"/>
      <c r="B817" s="20"/>
      <c r="C817" s="20"/>
      <c r="D817" s="20"/>
      <c r="E817" s="20"/>
      <c r="F817" s="20"/>
      <c r="G817" s="20"/>
      <c r="H817" s="20"/>
      <c r="I817" s="20"/>
      <c r="J817" s="20"/>
      <c r="Z817" s="20"/>
    </row>
    <row r="818">
      <c r="A818" s="20"/>
      <c r="B818" s="20"/>
      <c r="C818" s="20"/>
      <c r="D818" s="20"/>
      <c r="E818" s="20"/>
      <c r="F818" s="20"/>
      <c r="G818" s="20"/>
      <c r="H818" s="20"/>
      <c r="I818" s="20"/>
      <c r="J818" s="20"/>
      <c r="Z818" s="20"/>
    </row>
    <row r="819">
      <c r="A819" s="20"/>
      <c r="B819" s="20"/>
      <c r="C819" s="20"/>
      <c r="D819" s="20"/>
      <c r="E819" s="20"/>
      <c r="F819" s="20"/>
      <c r="G819" s="20"/>
      <c r="H819" s="20"/>
      <c r="I819" s="20"/>
      <c r="J819" s="20"/>
      <c r="Z819" s="20"/>
    </row>
    <row r="820">
      <c r="A820" s="20"/>
      <c r="B820" s="20"/>
      <c r="C820" s="20"/>
      <c r="D820" s="20"/>
      <c r="E820" s="20"/>
      <c r="F820" s="20"/>
      <c r="G820" s="20"/>
      <c r="H820" s="20"/>
      <c r="I820" s="20"/>
      <c r="J820" s="20"/>
      <c r="Z820" s="20"/>
    </row>
    <row r="821">
      <c r="A821" s="20"/>
      <c r="B821" s="20"/>
      <c r="C821" s="20"/>
      <c r="D821" s="20"/>
      <c r="E821" s="20"/>
      <c r="F821" s="20"/>
      <c r="G821" s="20"/>
      <c r="H821" s="20"/>
      <c r="I821" s="20"/>
      <c r="J821" s="20"/>
      <c r="Z821" s="20"/>
    </row>
    <row r="822">
      <c r="A822" s="20"/>
      <c r="B822" s="20"/>
      <c r="C822" s="20"/>
      <c r="D822" s="20"/>
      <c r="E822" s="20"/>
      <c r="F822" s="20"/>
      <c r="G822" s="20"/>
      <c r="H822" s="20"/>
      <c r="I822" s="20"/>
      <c r="J822" s="20"/>
      <c r="Z822" s="20"/>
    </row>
    <row r="823">
      <c r="A823" s="20"/>
      <c r="B823" s="20"/>
      <c r="C823" s="20"/>
      <c r="D823" s="20"/>
      <c r="E823" s="20"/>
      <c r="F823" s="20"/>
      <c r="G823" s="20"/>
      <c r="H823" s="20"/>
      <c r="I823" s="20"/>
      <c r="J823" s="20"/>
      <c r="Z823" s="20"/>
    </row>
    <row r="824">
      <c r="A824" s="20"/>
      <c r="B824" s="20"/>
      <c r="C824" s="20"/>
      <c r="D824" s="20"/>
      <c r="E824" s="20"/>
      <c r="F824" s="20"/>
      <c r="G824" s="20"/>
      <c r="H824" s="20"/>
      <c r="I824" s="20"/>
      <c r="J824" s="20"/>
      <c r="Z824" s="20"/>
    </row>
    <row r="825">
      <c r="A825" s="20"/>
      <c r="B825" s="20"/>
      <c r="C825" s="20"/>
      <c r="D825" s="20"/>
      <c r="E825" s="20"/>
      <c r="F825" s="20"/>
      <c r="G825" s="20"/>
      <c r="H825" s="20"/>
      <c r="I825" s="20"/>
      <c r="J825" s="20"/>
      <c r="Z825" s="20"/>
    </row>
    <row r="826">
      <c r="A826" s="20"/>
      <c r="B826" s="20"/>
      <c r="C826" s="20"/>
      <c r="D826" s="20"/>
      <c r="E826" s="20"/>
      <c r="F826" s="20"/>
      <c r="G826" s="20"/>
      <c r="H826" s="20"/>
      <c r="I826" s="20"/>
      <c r="J826" s="20"/>
      <c r="Z826" s="20"/>
    </row>
    <row r="827">
      <c r="A827" s="20"/>
      <c r="B827" s="20"/>
      <c r="C827" s="20"/>
      <c r="D827" s="20"/>
      <c r="E827" s="20"/>
      <c r="F827" s="20"/>
      <c r="G827" s="20"/>
      <c r="H827" s="20"/>
      <c r="I827" s="20"/>
      <c r="J827" s="20"/>
      <c r="Z827" s="20"/>
    </row>
    <row r="828">
      <c r="A828" s="20"/>
      <c r="B828" s="20"/>
      <c r="C828" s="20"/>
      <c r="D828" s="20"/>
      <c r="E828" s="20"/>
      <c r="F828" s="20"/>
      <c r="G828" s="20"/>
      <c r="H828" s="20"/>
      <c r="I828" s="20"/>
      <c r="J828" s="20"/>
      <c r="Z828" s="20"/>
    </row>
    <row r="829">
      <c r="A829" s="20"/>
      <c r="B829" s="20"/>
      <c r="C829" s="20"/>
      <c r="D829" s="20"/>
      <c r="E829" s="20"/>
      <c r="F829" s="20"/>
      <c r="G829" s="20"/>
      <c r="H829" s="20"/>
      <c r="I829" s="20"/>
      <c r="J829" s="20"/>
      <c r="Z829" s="20"/>
    </row>
    <row r="830">
      <c r="A830" s="20"/>
      <c r="B830" s="20"/>
      <c r="C830" s="20"/>
      <c r="D830" s="20"/>
      <c r="E830" s="20"/>
      <c r="F830" s="20"/>
      <c r="G830" s="20"/>
      <c r="H830" s="20"/>
      <c r="I830" s="20"/>
      <c r="J830" s="20"/>
      <c r="Z830" s="20"/>
    </row>
    <row r="831">
      <c r="A831" s="20"/>
      <c r="B831" s="20"/>
      <c r="C831" s="20"/>
      <c r="D831" s="20"/>
      <c r="E831" s="20"/>
      <c r="F831" s="20"/>
      <c r="G831" s="20"/>
      <c r="H831" s="20"/>
      <c r="I831" s="20"/>
      <c r="J831" s="20"/>
      <c r="Z831" s="20"/>
    </row>
    <row r="832">
      <c r="A832" s="20"/>
      <c r="B832" s="20"/>
      <c r="C832" s="20"/>
      <c r="D832" s="20"/>
      <c r="E832" s="20"/>
      <c r="F832" s="20"/>
      <c r="G832" s="20"/>
      <c r="H832" s="20"/>
      <c r="I832" s="20"/>
      <c r="J832" s="20"/>
      <c r="Z832" s="20"/>
    </row>
    <row r="833">
      <c r="A833" s="20"/>
      <c r="B833" s="20"/>
      <c r="C833" s="20"/>
      <c r="D833" s="20"/>
      <c r="E833" s="20"/>
      <c r="F833" s="20"/>
      <c r="G833" s="20"/>
      <c r="H833" s="20"/>
      <c r="I833" s="20"/>
      <c r="J833" s="20"/>
      <c r="Z833" s="20"/>
    </row>
    <row r="834">
      <c r="A834" s="20"/>
      <c r="B834" s="20"/>
      <c r="C834" s="20"/>
      <c r="D834" s="20"/>
      <c r="E834" s="20"/>
      <c r="F834" s="20"/>
      <c r="G834" s="20"/>
      <c r="H834" s="20"/>
      <c r="I834" s="20"/>
      <c r="J834" s="20"/>
      <c r="Z834" s="20"/>
    </row>
    <row r="835">
      <c r="A835" s="20"/>
      <c r="B835" s="20"/>
      <c r="C835" s="20"/>
      <c r="D835" s="20"/>
      <c r="E835" s="20"/>
      <c r="F835" s="20"/>
      <c r="G835" s="20"/>
      <c r="H835" s="20"/>
      <c r="I835" s="20"/>
      <c r="J835" s="20"/>
      <c r="Z835" s="20"/>
    </row>
    <row r="836">
      <c r="A836" s="20"/>
      <c r="B836" s="20"/>
      <c r="C836" s="20"/>
      <c r="D836" s="20"/>
      <c r="E836" s="20"/>
      <c r="F836" s="20"/>
      <c r="G836" s="20"/>
      <c r="H836" s="20"/>
      <c r="I836" s="20"/>
      <c r="J836" s="20"/>
      <c r="Z836" s="20"/>
    </row>
    <row r="837">
      <c r="A837" s="20"/>
      <c r="B837" s="20"/>
      <c r="C837" s="20"/>
      <c r="D837" s="20"/>
      <c r="E837" s="20"/>
      <c r="F837" s="20"/>
      <c r="G837" s="20"/>
      <c r="H837" s="20"/>
      <c r="I837" s="20"/>
      <c r="J837" s="20"/>
      <c r="Z837" s="20"/>
    </row>
    <row r="838">
      <c r="A838" s="20"/>
      <c r="B838" s="20"/>
      <c r="C838" s="20"/>
      <c r="D838" s="20"/>
      <c r="E838" s="20"/>
      <c r="F838" s="20"/>
      <c r="G838" s="20"/>
      <c r="H838" s="20"/>
      <c r="I838" s="20"/>
      <c r="J838" s="20"/>
      <c r="Z838" s="20"/>
    </row>
    <row r="839">
      <c r="A839" s="20"/>
      <c r="B839" s="20"/>
      <c r="C839" s="20"/>
      <c r="D839" s="20"/>
      <c r="E839" s="20"/>
      <c r="F839" s="20"/>
      <c r="G839" s="20"/>
      <c r="H839" s="20"/>
      <c r="I839" s="20"/>
      <c r="J839" s="20"/>
      <c r="Z839" s="20"/>
    </row>
    <row r="840">
      <c r="A840" s="20"/>
      <c r="B840" s="20"/>
      <c r="C840" s="20"/>
      <c r="D840" s="20"/>
      <c r="E840" s="20"/>
      <c r="F840" s="20"/>
      <c r="G840" s="20"/>
      <c r="H840" s="20"/>
      <c r="I840" s="20"/>
      <c r="J840" s="20"/>
      <c r="Z840" s="20"/>
    </row>
    <row r="841">
      <c r="A841" s="20"/>
      <c r="B841" s="20"/>
      <c r="C841" s="20"/>
      <c r="D841" s="20"/>
      <c r="E841" s="20"/>
      <c r="F841" s="20"/>
      <c r="G841" s="20"/>
      <c r="H841" s="20"/>
      <c r="I841" s="20"/>
      <c r="J841" s="20"/>
      <c r="Z841" s="20"/>
    </row>
    <row r="842">
      <c r="A842" s="20"/>
      <c r="B842" s="20"/>
      <c r="C842" s="20"/>
      <c r="D842" s="20"/>
      <c r="E842" s="20"/>
      <c r="F842" s="20"/>
      <c r="G842" s="20"/>
      <c r="H842" s="20"/>
      <c r="I842" s="20"/>
      <c r="J842" s="20"/>
      <c r="Z842" s="20"/>
    </row>
    <row r="843">
      <c r="A843" s="20"/>
      <c r="B843" s="20"/>
      <c r="C843" s="20"/>
      <c r="D843" s="20"/>
      <c r="E843" s="20"/>
      <c r="F843" s="20"/>
      <c r="G843" s="20"/>
      <c r="H843" s="20"/>
      <c r="I843" s="20"/>
      <c r="J843" s="20"/>
      <c r="Z843" s="20"/>
    </row>
    <row r="844">
      <c r="A844" s="20"/>
      <c r="B844" s="20"/>
      <c r="C844" s="20"/>
      <c r="D844" s="20"/>
      <c r="E844" s="20"/>
      <c r="F844" s="20"/>
      <c r="G844" s="20"/>
      <c r="H844" s="20"/>
      <c r="I844" s="20"/>
      <c r="J844" s="20"/>
      <c r="Z844" s="20"/>
    </row>
    <row r="845">
      <c r="A845" s="20"/>
      <c r="B845" s="20"/>
      <c r="C845" s="20"/>
      <c r="D845" s="20"/>
      <c r="E845" s="20"/>
      <c r="F845" s="20"/>
      <c r="G845" s="20"/>
      <c r="H845" s="20"/>
      <c r="I845" s="20"/>
      <c r="J845" s="20"/>
      <c r="Z845" s="20"/>
    </row>
    <row r="846">
      <c r="A846" s="20"/>
      <c r="B846" s="20"/>
      <c r="C846" s="20"/>
      <c r="D846" s="20"/>
      <c r="E846" s="20"/>
      <c r="F846" s="20"/>
      <c r="G846" s="20"/>
      <c r="H846" s="20"/>
      <c r="I846" s="20"/>
      <c r="J846" s="20"/>
      <c r="Z846" s="20"/>
    </row>
    <row r="847">
      <c r="A847" s="20"/>
      <c r="B847" s="20"/>
      <c r="C847" s="20"/>
      <c r="D847" s="20"/>
      <c r="E847" s="20"/>
      <c r="F847" s="20"/>
      <c r="G847" s="20"/>
      <c r="H847" s="20"/>
      <c r="I847" s="20"/>
      <c r="J847" s="20"/>
      <c r="Z847" s="20"/>
    </row>
    <row r="848">
      <c r="A848" s="20"/>
      <c r="B848" s="20"/>
      <c r="C848" s="20"/>
      <c r="D848" s="20"/>
      <c r="E848" s="20"/>
      <c r="F848" s="20"/>
      <c r="G848" s="20"/>
      <c r="H848" s="20"/>
      <c r="I848" s="20"/>
      <c r="J848" s="20"/>
      <c r="Z848" s="20"/>
    </row>
    <row r="849">
      <c r="A849" s="20"/>
      <c r="B849" s="20"/>
      <c r="C849" s="20"/>
      <c r="D849" s="20"/>
      <c r="E849" s="20"/>
      <c r="F849" s="20"/>
      <c r="G849" s="20"/>
      <c r="H849" s="20"/>
      <c r="I849" s="20"/>
      <c r="J849" s="20"/>
      <c r="Z849" s="20"/>
    </row>
    <row r="850">
      <c r="A850" s="20"/>
      <c r="B850" s="20"/>
      <c r="C850" s="20"/>
      <c r="D850" s="20"/>
      <c r="E850" s="20"/>
      <c r="F850" s="20"/>
      <c r="G850" s="20"/>
      <c r="H850" s="20"/>
      <c r="I850" s="20"/>
      <c r="J850" s="20"/>
      <c r="Z850" s="20"/>
    </row>
    <row r="851">
      <c r="A851" s="20"/>
      <c r="B851" s="20"/>
      <c r="C851" s="20"/>
      <c r="D851" s="20"/>
      <c r="E851" s="20"/>
      <c r="F851" s="20"/>
      <c r="G851" s="20"/>
      <c r="H851" s="20"/>
      <c r="I851" s="20"/>
      <c r="J851" s="20"/>
      <c r="Z851" s="20"/>
    </row>
    <row r="852">
      <c r="A852" s="20"/>
      <c r="B852" s="20"/>
      <c r="C852" s="20"/>
      <c r="D852" s="20"/>
      <c r="E852" s="20"/>
      <c r="F852" s="20"/>
      <c r="G852" s="20"/>
      <c r="H852" s="20"/>
      <c r="I852" s="20"/>
      <c r="J852" s="20"/>
      <c r="Z852" s="20"/>
    </row>
    <row r="853">
      <c r="A853" s="20"/>
      <c r="B853" s="20"/>
      <c r="C853" s="20"/>
      <c r="D853" s="20"/>
      <c r="E853" s="20"/>
      <c r="F853" s="20"/>
      <c r="G853" s="20"/>
      <c r="H853" s="20"/>
      <c r="I853" s="20"/>
      <c r="J853" s="20"/>
      <c r="Z853" s="20"/>
    </row>
    <row r="854">
      <c r="A854" s="20"/>
      <c r="B854" s="20"/>
      <c r="C854" s="20"/>
      <c r="D854" s="20"/>
      <c r="E854" s="20"/>
      <c r="F854" s="20"/>
      <c r="G854" s="20"/>
      <c r="H854" s="20"/>
      <c r="I854" s="20"/>
      <c r="J854" s="20"/>
      <c r="Z854" s="20"/>
    </row>
    <row r="855">
      <c r="A855" s="20"/>
      <c r="B855" s="20"/>
      <c r="C855" s="20"/>
      <c r="D855" s="20"/>
      <c r="E855" s="20"/>
      <c r="F855" s="20"/>
      <c r="G855" s="20"/>
      <c r="H855" s="20"/>
      <c r="I855" s="20"/>
      <c r="J855" s="20"/>
      <c r="Z855" s="20"/>
    </row>
    <row r="856">
      <c r="A856" s="20"/>
      <c r="B856" s="20"/>
      <c r="C856" s="20"/>
      <c r="D856" s="20"/>
      <c r="E856" s="20"/>
      <c r="F856" s="20"/>
      <c r="G856" s="20"/>
      <c r="H856" s="20"/>
      <c r="I856" s="20"/>
      <c r="J856" s="20"/>
      <c r="Z856" s="20"/>
    </row>
    <row r="857">
      <c r="A857" s="20"/>
      <c r="B857" s="20"/>
      <c r="C857" s="20"/>
      <c r="D857" s="20"/>
      <c r="E857" s="20"/>
      <c r="F857" s="20"/>
      <c r="G857" s="20"/>
      <c r="H857" s="20"/>
      <c r="I857" s="20"/>
      <c r="J857" s="20"/>
      <c r="Z857" s="20"/>
    </row>
    <row r="858">
      <c r="A858" s="20"/>
      <c r="B858" s="20"/>
      <c r="C858" s="20"/>
      <c r="D858" s="20"/>
      <c r="E858" s="20"/>
      <c r="F858" s="20"/>
      <c r="G858" s="20"/>
      <c r="H858" s="20"/>
      <c r="I858" s="20"/>
      <c r="J858" s="20"/>
      <c r="Z858" s="20"/>
    </row>
    <row r="859">
      <c r="A859" s="20"/>
      <c r="B859" s="20"/>
      <c r="C859" s="20"/>
      <c r="D859" s="20"/>
      <c r="E859" s="20"/>
      <c r="F859" s="20"/>
      <c r="G859" s="20"/>
      <c r="H859" s="20"/>
      <c r="I859" s="20"/>
      <c r="J859" s="20"/>
      <c r="Z859" s="20"/>
    </row>
    <row r="860">
      <c r="A860" s="20"/>
      <c r="B860" s="20"/>
      <c r="C860" s="20"/>
      <c r="D860" s="20"/>
      <c r="E860" s="20"/>
      <c r="F860" s="20"/>
      <c r="G860" s="20"/>
      <c r="H860" s="20"/>
      <c r="I860" s="20"/>
      <c r="J860" s="20"/>
      <c r="Z860" s="20"/>
    </row>
    <row r="861">
      <c r="A861" s="20"/>
      <c r="B861" s="20"/>
      <c r="C861" s="20"/>
      <c r="D861" s="20"/>
      <c r="E861" s="20"/>
      <c r="F861" s="20"/>
      <c r="G861" s="20"/>
      <c r="H861" s="20"/>
      <c r="I861" s="20"/>
      <c r="J861" s="20"/>
      <c r="Z861" s="20"/>
    </row>
    <row r="862">
      <c r="A862" s="20"/>
      <c r="B862" s="20"/>
      <c r="C862" s="20"/>
      <c r="D862" s="20"/>
      <c r="E862" s="20"/>
      <c r="F862" s="20"/>
      <c r="G862" s="20"/>
      <c r="H862" s="20"/>
      <c r="I862" s="20"/>
      <c r="J862" s="20"/>
      <c r="Z862" s="20"/>
    </row>
    <row r="863">
      <c r="A863" s="20"/>
      <c r="B863" s="20"/>
      <c r="C863" s="20"/>
      <c r="D863" s="20"/>
      <c r="E863" s="20"/>
      <c r="F863" s="20"/>
      <c r="G863" s="20"/>
      <c r="H863" s="20"/>
      <c r="I863" s="20"/>
      <c r="J863" s="20"/>
      <c r="Z863" s="20"/>
    </row>
    <row r="864">
      <c r="A864" s="20"/>
      <c r="B864" s="20"/>
      <c r="C864" s="20"/>
      <c r="D864" s="20"/>
      <c r="E864" s="20"/>
      <c r="F864" s="20"/>
      <c r="G864" s="20"/>
      <c r="H864" s="20"/>
      <c r="I864" s="20"/>
      <c r="J864" s="20"/>
      <c r="Z864" s="20"/>
    </row>
    <row r="865">
      <c r="A865" s="20"/>
      <c r="B865" s="20"/>
      <c r="C865" s="20"/>
      <c r="D865" s="20"/>
      <c r="E865" s="20"/>
      <c r="F865" s="20"/>
      <c r="G865" s="20"/>
      <c r="H865" s="20"/>
      <c r="I865" s="20"/>
      <c r="J865" s="20"/>
      <c r="Z865" s="20"/>
    </row>
    <row r="866">
      <c r="A866" s="20"/>
      <c r="B866" s="20"/>
      <c r="C866" s="20"/>
      <c r="D866" s="20"/>
      <c r="E866" s="20"/>
      <c r="F866" s="20"/>
      <c r="G866" s="20"/>
      <c r="H866" s="20"/>
      <c r="I866" s="20"/>
      <c r="J866" s="20"/>
      <c r="Z866" s="20"/>
    </row>
    <row r="867">
      <c r="A867" s="20"/>
      <c r="B867" s="20"/>
      <c r="C867" s="20"/>
      <c r="D867" s="20"/>
      <c r="E867" s="20"/>
      <c r="F867" s="20"/>
      <c r="G867" s="20"/>
      <c r="H867" s="20"/>
      <c r="I867" s="20"/>
      <c r="J867" s="20"/>
      <c r="Z867" s="20"/>
    </row>
    <row r="868">
      <c r="A868" s="20"/>
      <c r="B868" s="20"/>
      <c r="C868" s="20"/>
      <c r="D868" s="20"/>
      <c r="E868" s="20"/>
      <c r="F868" s="20"/>
      <c r="G868" s="20"/>
      <c r="H868" s="20"/>
      <c r="I868" s="20"/>
      <c r="J868" s="20"/>
      <c r="Z868" s="20"/>
    </row>
    <row r="869">
      <c r="A869" s="20"/>
      <c r="B869" s="20"/>
      <c r="C869" s="20"/>
      <c r="D869" s="20"/>
      <c r="E869" s="20"/>
      <c r="F869" s="20"/>
      <c r="G869" s="20"/>
      <c r="H869" s="20"/>
      <c r="I869" s="20"/>
      <c r="J869" s="20"/>
      <c r="Z869" s="20"/>
    </row>
    <row r="870">
      <c r="A870" s="20"/>
      <c r="B870" s="20"/>
      <c r="C870" s="20"/>
      <c r="D870" s="20"/>
      <c r="E870" s="20"/>
      <c r="F870" s="20"/>
      <c r="G870" s="20"/>
      <c r="H870" s="20"/>
      <c r="I870" s="20"/>
      <c r="J870" s="20"/>
      <c r="Z870" s="20"/>
    </row>
    <row r="871">
      <c r="A871" s="20"/>
      <c r="B871" s="20"/>
      <c r="C871" s="20"/>
      <c r="D871" s="20"/>
      <c r="E871" s="20"/>
      <c r="F871" s="20"/>
      <c r="G871" s="20"/>
      <c r="H871" s="20"/>
      <c r="I871" s="20"/>
      <c r="J871" s="20"/>
      <c r="Z871" s="20"/>
    </row>
    <row r="872">
      <c r="A872" s="20"/>
      <c r="B872" s="20"/>
      <c r="C872" s="20"/>
      <c r="D872" s="20"/>
      <c r="E872" s="20"/>
      <c r="F872" s="20"/>
      <c r="G872" s="20"/>
      <c r="H872" s="20"/>
      <c r="I872" s="20"/>
      <c r="J872" s="20"/>
      <c r="Z872" s="20"/>
    </row>
    <row r="873">
      <c r="A873" s="20"/>
      <c r="B873" s="20"/>
      <c r="C873" s="20"/>
      <c r="D873" s="20"/>
      <c r="E873" s="20"/>
      <c r="F873" s="20"/>
      <c r="G873" s="20"/>
      <c r="H873" s="20"/>
      <c r="I873" s="20"/>
      <c r="J873" s="20"/>
      <c r="Z873" s="20"/>
    </row>
    <row r="874">
      <c r="A874" s="20"/>
      <c r="B874" s="20"/>
      <c r="C874" s="20"/>
      <c r="D874" s="20"/>
      <c r="E874" s="20"/>
      <c r="F874" s="20"/>
      <c r="G874" s="20"/>
      <c r="H874" s="20"/>
      <c r="I874" s="20"/>
      <c r="J874" s="20"/>
      <c r="Z874" s="20"/>
    </row>
    <row r="875">
      <c r="A875" s="20"/>
      <c r="B875" s="20"/>
      <c r="C875" s="20"/>
      <c r="D875" s="20"/>
      <c r="E875" s="20"/>
      <c r="F875" s="20"/>
      <c r="G875" s="20"/>
      <c r="H875" s="20"/>
      <c r="I875" s="20"/>
      <c r="J875" s="20"/>
      <c r="Z875" s="20"/>
    </row>
    <row r="876">
      <c r="A876" s="20"/>
      <c r="B876" s="20"/>
      <c r="C876" s="20"/>
      <c r="D876" s="20"/>
      <c r="E876" s="20"/>
      <c r="F876" s="20"/>
      <c r="G876" s="20"/>
      <c r="H876" s="20"/>
      <c r="I876" s="20"/>
      <c r="J876" s="20"/>
      <c r="Z876" s="20"/>
    </row>
    <row r="877">
      <c r="A877" s="20"/>
      <c r="B877" s="20"/>
      <c r="C877" s="20"/>
      <c r="D877" s="20"/>
      <c r="E877" s="20"/>
      <c r="F877" s="20"/>
      <c r="G877" s="20"/>
      <c r="H877" s="20"/>
      <c r="I877" s="20"/>
      <c r="J877" s="20"/>
      <c r="Z877" s="20"/>
    </row>
    <row r="878">
      <c r="A878" s="20"/>
      <c r="B878" s="20"/>
      <c r="C878" s="20"/>
      <c r="D878" s="20"/>
      <c r="E878" s="20"/>
      <c r="F878" s="20"/>
      <c r="G878" s="20"/>
      <c r="H878" s="20"/>
      <c r="I878" s="20"/>
      <c r="J878" s="20"/>
      <c r="Z878" s="20"/>
    </row>
    <row r="879">
      <c r="A879" s="20"/>
      <c r="B879" s="20"/>
      <c r="C879" s="20"/>
      <c r="D879" s="20"/>
      <c r="E879" s="20"/>
      <c r="F879" s="20"/>
      <c r="G879" s="20"/>
      <c r="H879" s="20"/>
      <c r="I879" s="20"/>
      <c r="J879" s="20"/>
      <c r="Z879" s="20"/>
    </row>
    <row r="880">
      <c r="A880" s="20"/>
      <c r="B880" s="20"/>
      <c r="C880" s="20"/>
      <c r="D880" s="20"/>
      <c r="E880" s="20"/>
      <c r="F880" s="20"/>
      <c r="G880" s="20"/>
      <c r="H880" s="20"/>
      <c r="I880" s="20"/>
      <c r="J880" s="20"/>
      <c r="Z880" s="20"/>
    </row>
    <row r="881">
      <c r="A881" s="20"/>
      <c r="B881" s="20"/>
      <c r="C881" s="20"/>
      <c r="D881" s="20"/>
      <c r="E881" s="20"/>
      <c r="F881" s="20"/>
      <c r="G881" s="20"/>
      <c r="H881" s="20"/>
      <c r="I881" s="20"/>
      <c r="J881" s="20"/>
      <c r="Z881" s="20"/>
    </row>
    <row r="882">
      <c r="A882" s="20"/>
      <c r="B882" s="20"/>
      <c r="C882" s="20"/>
      <c r="D882" s="20"/>
      <c r="E882" s="20"/>
      <c r="F882" s="20"/>
      <c r="G882" s="20"/>
      <c r="H882" s="20"/>
      <c r="I882" s="20"/>
      <c r="J882" s="20"/>
      <c r="Z882" s="20"/>
    </row>
    <row r="883">
      <c r="A883" s="20"/>
      <c r="B883" s="20"/>
      <c r="C883" s="20"/>
      <c r="D883" s="20"/>
      <c r="E883" s="20"/>
      <c r="F883" s="20"/>
      <c r="G883" s="20"/>
      <c r="H883" s="20"/>
      <c r="I883" s="20"/>
      <c r="J883" s="20"/>
      <c r="Z883" s="20"/>
    </row>
    <row r="884">
      <c r="A884" s="20"/>
      <c r="B884" s="20"/>
      <c r="C884" s="20"/>
      <c r="D884" s="20"/>
      <c r="E884" s="20"/>
      <c r="F884" s="20"/>
      <c r="G884" s="20"/>
      <c r="H884" s="20"/>
      <c r="I884" s="20"/>
      <c r="J884" s="20"/>
      <c r="Z884" s="20"/>
    </row>
    <row r="885">
      <c r="A885" s="20"/>
      <c r="B885" s="20"/>
      <c r="C885" s="20"/>
      <c r="D885" s="20"/>
      <c r="E885" s="20"/>
      <c r="F885" s="20"/>
      <c r="G885" s="20"/>
      <c r="H885" s="20"/>
      <c r="I885" s="20"/>
      <c r="J885" s="20"/>
      <c r="Z885" s="20"/>
    </row>
    <row r="886">
      <c r="A886" s="20"/>
      <c r="B886" s="20"/>
      <c r="C886" s="20"/>
      <c r="D886" s="20"/>
      <c r="E886" s="20"/>
      <c r="F886" s="20"/>
      <c r="G886" s="20"/>
      <c r="H886" s="20"/>
      <c r="I886" s="20"/>
      <c r="J886" s="20"/>
      <c r="Z886" s="20"/>
    </row>
    <row r="887">
      <c r="A887" s="20"/>
      <c r="B887" s="20"/>
      <c r="C887" s="20"/>
      <c r="D887" s="20"/>
      <c r="E887" s="20"/>
      <c r="F887" s="20"/>
      <c r="G887" s="20"/>
      <c r="H887" s="20"/>
      <c r="I887" s="20"/>
      <c r="J887" s="20"/>
      <c r="Z887" s="20"/>
    </row>
    <row r="888">
      <c r="A888" s="20"/>
      <c r="B888" s="20"/>
      <c r="C888" s="20"/>
      <c r="D888" s="20"/>
      <c r="E888" s="20"/>
      <c r="F888" s="20"/>
      <c r="G888" s="20"/>
      <c r="H888" s="20"/>
      <c r="I888" s="20"/>
      <c r="J888" s="20"/>
      <c r="Z888" s="20"/>
    </row>
    <row r="889">
      <c r="A889" s="20"/>
      <c r="B889" s="20"/>
      <c r="C889" s="20"/>
      <c r="D889" s="20"/>
      <c r="E889" s="20"/>
      <c r="F889" s="20"/>
      <c r="G889" s="20"/>
      <c r="H889" s="20"/>
      <c r="I889" s="20"/>
      <c r="J889" s="20"/>
      <c r="Z889" s="20"/>
    </row>
    <row r="890">
      <c r="A890" s="20"/>
      <c r="B890" s="20"/>
      <c r="C890" s="20"/>
      <c r="D890" s="20"/>
      <c r="E890" s="20"/>
      <c r="F890" s="20"/>
      <c r="G890" s="20"/>
      <c r="H890" s="20"/>
      <c r="I890" s="20"/>
      <c r="J890" s="20"/>
      <c r="Z890" s="20"/>
    </row>
    <row r="891">
      <c r="A891" s="20"/>
      <c r="B891" s="20"/>
      <c r="C891" s="20"/>
      <c r="D891" s="20"/>
      <c r="E891" s="20"/>
      <c r="F891" s="20"/>
      <c r="G891" s="20"/>
      <c r="H891" s="20"/>
      <c r="I891" s="20"/>
      <c r="J891" s="20"/>
      <c r="Z891" s="20"/>
    </row>
    <row r="892">
      <c r="A892" s="20"/>
      <c r="B892" s="20"/>
      <c r="C892" s="20"/>
      <c r="D892" s="20"/>
      <c r="E892" s="20"/>
      <c r="F892" s="20"/>
      <c r="G892" s="20"/>
      <c r="H892" s="20"/>
      <c r="I892" s="20"/>
      <c r="J892" s="20"/>
      <c r="Z892" s="20"/>
    </row>
    <row r="893">
      <c r="A893" s="20"/>
      <c r="B893" s="20"/>
      <c r="C893" s="20"/>
      <c r="D893" s="20"/>
      <c r="E893" s="20"/>
      <c r="F893" s="20"/>
      <c r="G893" s="20"/>
      <c r="H893" s="20"/>
      <c r="I893" s="20"/>
      <c r="J893" s="20"/>
      <c r="Z893" s="20"/>
    </row>
    <row r="894">
      <c r="A894" s="20"/>
      <c r="B894" s="20"/>
      <c r="C894" s="20"/>
      <c r="D894" s="20"/>
      <c r="E894" s="20"/>
      <c r="F894" s="20"/>
      <c r="G894" s="20"/>
      <c r="H894" s="20"/>
      <c r="I894" s="20"/>
      <c r="J894" s="20"/>
      <c r="Z894" s="20"/>
    </row>
    <row r="895">
      <c r="A895" s="20"/>
      <c r="B895" s="20"/>
      <c r="C895" s="20"/>
      <c r="D895" s="20"/>
      <c r="E895" s="20"/>
      <c r="F895" s="20"/>
      <c r="G895" s="20"/>
      <c r="H895" s="20"/>
      <c r="I895" s="20"/>
      <c r="J895" s="20"/>
      <c r="Z895" s="20"/>
    </row>
    <row r="896">
      <c r="A896" s="20"/>
      <c r="B896" s="20"/>
      <c r="C896" s="20"/>
      <c r="D896" s="20"/>
      <c r="E896" s="20"/>
      <c r="F896" s="20"/>
      <c r="G896" s="20"/>
      <c r="H896" s="20"/>
      <c r="I896" s="20"/>
      <c r="J896" s="20"/>
      <c r="Z896" s="20"/>
    </row>
    <row r="897">
      <c r="A897" s="20"/>
      <c r="B897" s="20"/>
      <c r="C897" s="20"/>
      <c r="D897" s="20"/>
      <c r="E897" s="20"/>
      <c r="F897" s="20"/>
      <c r="G897" s="20"/>
      <c r="H897" s="20"/>
      <c r="I897" s="20"/>
      <c r="J897" s="20"/>
      <c r="Z897" s="20"/>
    </row>
    <row r="898">
      <c r="A898" s="20"/>
      <c r="B898" s="20"/>
      <c r="C898" s="20"/>
      <c r="D898" s="20"/>
      <c r="E898" s="20"/>
      <c r="F898" s="20"/>
      <c r="G898" s="20"/>
      <c r="H898" s="20"/>
      <c r="I898" s="20"/>
      <c r="J898" s="20"/>
      <c r="Z898" s="20"/>
    </row>
    <row r="899">
      <c r="A899" s="20"/>
      <c r="B899" s="20"/>
      <c r="C899" s="20"/>
      <c r="D899" s="20"/>
      <c r="E899" s="20"/>
      <c r="F899" s="20"/>
      <c r="G899" s="20"/>
      <c r="H899" s="20"/>
      <c r="I899" s="20"/>
      <c r="J899" s="20"/>
      <c r="Z899" s="20"/>
    </row>
    <row r="900">
      <c r="A900" s="20"/>
      <c r="B900" s="20"/>
      <c r="C900" s="20"/>
      <c r="D900" s="20"/>
      <c r="E900" s="20"/>
      <c r="F900" s="20"/>
      <c r="G900" s="20"/>
      <c r="H900" s="20"/>
      <c r="I900" s="20"/>
      <c r="J900" s="20"/>
      <c r="Z900" s="20"/>
    </row>
    <row r="901">
      <c r="A901" s="20"/>
      <c r="B901" s="20"/>
      <c r="C901" s="20"/>
      <c r="D901" s="20"/>
      <c r="E901" s="20"/>
      <c r="F901" s="20"/>
      <c r="G901" s="20"/>
      <c r="H901" s="20"/>
      <c r="I901" s="20"/>
      <c r="J901" s="20"/>
      <c r="Z901" s="20"/>
    </row>
    <row r="902">
      <c r="A902" s="20"/>
      <c r="B902" s="20"/>
      <c r="C902" s="20"/>
      <c r="D902" s="20"/>
      <c r="E902" s="20"/>
      <c r="F902" s="20"/>
      <c r="G902" s="20"/>
      <c r="H902" s="20"/>
      <c r="I902" s="20"/>
      <c r="J902" s="20"/>
      <c r="Z902" s="20"/>
    </row>
    <row r="903">
      <c r="A903" s="20"/>
      <c r="B903" s="20"/>
      <c r="C903" s="20"/>
      <c r="D903" s="20"/>
      <c r="E903" s="20"/>
      <c r="F903" s="20"/>
      <c r="G903" s="20"/>
      <c r="H903" s="20"/>
      <c r="I903" s="20"/>
      <c r="J903" s="20"/>
      <c r="Z903" s="20"/>
    </row>
    <row r="904">
      <c r="A904" s="20"/>
      <c r="B904" s="20"/>
      <c r="C904" s="20"/>
      <c r="D904" s="20"/>
      <c r="E904" s="20"/>
      <c r="F904" s="20"/>
      <c r="G904" s="20"/>
      <c r="H904" s="20"/>
      <c r="I904" s="20"/>
      <c r="J904" s="20"/>
      <c r="Z904" s="20"/>
    </row>
    <row r="905">
      <c r="A905" s="20"/>
      <c r="B905" s="20"/>
      <c r="C905" s="20"/>
      <c r="D905" s="20"/>
      <c r="E905" s="20"/>
      <c r="F905" s="20"/>
      <c r="G905" s="20"/>
      <c r="H905" s="20"/>
      <c r="I905" s="20"/>
      <c r="J905" s="20"/>
      <c r="Z905" s="20"/>
    </row>
    <row r="906">
      <c r="A906" s="20"/>
      <c r="B906" s="20"/>
      <c r="C906" s="20"/>
      <c r="D906" s="20"/>
      <c r="E906" s="20"/>
      <c r="F906" s="20"/>
      <c r="G906" s="20"/>
      <c r="H906" s="20"/>
      <c r="I906" s="20"/>
      <c r="J906" s="20"/>
      <c r="Z906" s="20"/>
    </row>
    <row r="907">
      <c r="A907" s="20"/>
      <c r="B907" s="20"/>
      <c r="C907" s="20"/>
      <c r="D907" s="20"/>
      <c r="E907" s="20"/>
      <c r="F907" s="20"/>
      <c r="G907" s="20"/>
      <c r="H907" s="20"/>
      <c r="I907" s="20"/>
      <c r="J907" s="20"/>
      <c r="Z907" s="20"/>
    </row>
    <row r="908">
      <c r="A908" s="20"/>
      <c r="B908" s="20"/>
      <c r="C908" s="20"/>
      <c r="D908" s="20"/>
      <c r="E908" s="20"/>
      <c r="F908" s="20"/>
      <c r="G908" s="20"/>
      <c r="H908" s="20"/>
      <c r="I908" s="20"/>
      <c r="J908" s="20"/>
      <c r="Z908" s="20"/>
    </row>
    <row r="909">
      <c r="A909" s="20"/>
      <c r="B909" s="20"/>
      <c r="C909" s="20"/>
      <c r="D909" s="20"/>
      <c r="E909" s="20"/>
      <c r="F909" s="20"/>
      <c r="G909" s="20"/>
      <c r="H909" s="20"/>
      <c r="I909" s="20"/>
      <c r="J909" s="20"/>
      <c r="Z909" s="20"/>
    </row>
    <row r="910">
      <c r="A910" s="20"/>
      <c r="B910" s="20"/>
      <c r="C910" s="20"/>
      <c r="D910" s="20"/>
      <c r="E910" s="20"/>
      <c r="F910" s="20"/>
      <c r="G910" s="20"/>
      <c r="H910" s="20"/>
      <c r="I910" s="20"/>
      <c r="J910" s="20"/>
      <c r="Z910" s="20"/>
    </row>
    <row r="911">
      <c r="A911" s="20"/>
      <c r="B911" s="20"/>
      <c r="C911" s="20"/>
      <c r="D911" s="20"/>
      <c r="E911" s="20"/>
      <c r="F911" s="20"/>
      <c r="G911" s="20"/>
      <c r="H911" s="20"/>
      <c r="I911" s="20"/>
      <c r="J911" s="20"/>
      <c r="Z911" s="20"/>
    </row>
    <row r="912">
      <c r="A912" s="20"/>
      <c r="B912" s="20"/>
      <c r="C912" s="20"/>
      <c r="D912" s="20"/>
      <c r="E912" s="20"/>
      <c r="F912" s="20"/>
      <c r="G912" s="20"/>
      <c r="H912" s="20"/>
      <c r="I912" s="20"/>
      <c r="J912" s="20"/>
      <c r="Z912" s="20"/>
    </row>
    <row r="913">
      <c r="A913" s="20"/>
      <c r="B913" s="20"/>
      <c r="C913" s="20"/>
      <c r="D913" s="20"/>
      <c r="E913" s="20"/>
      <c r="F913" s="20"/>
      <c r="G913" s="20"/>
      <c r="H913" s="20"/>
      <c r="I913" s="20"/>
      <c r="J913" s="20"/>
      <c r="Z913" s="20"/>
    </row>
    <row r="914">
      <c r="A914" s="20"/>
      <c r="B914" s="20"/>
      <c r="C914" s="20"/>
      <c r="D914" s="20"/>
      <c r="E914" s="20"/>
      <c r="F914" s="20"/>
      <c r="G914" s="20"/>
      <c r="H914" s="20"/>
      <c r="I914" s="20"/>
      <c r="J914" s="20"/>
      <c r="Z914" s="20"/>
    </row>
    <row r="915">
      <c r="A915" s="20"/>
      <c r="B915" s="20"/>
      <c r="C915" s="20"/>
      <c r="D915" s="20"/>
      <c r="E915" s="20"/>
      <c r="F915" s="20"/>
      <c r="G915" s="20"/>
      <c r="H915" s="20"/>
      <c r="I915" s="20"/>
      <c r="J915" s="20"/>
      <c r="Z915" s="20"/>
    </row>
    <row r="916">
      <c r="A916" s="20"/>
      <c r="B916" s="20"/>
      <c r="C916" s="20"/>
      <c r="D916" s="20"/>
      <c r="E916" s="20"/>
      <c r="F916" s="20"/>
      <c r="G916" s="20"/>
      <c r="H916" s="20"/>
      <c r="I916" s="20"/>
      <c r="J916" s="20"/>
      <c r="Z916" s="20"/>
    </row>
    <row r="917">
      <c r="A917" s="20"/>
      <c r="B917" s="20"/>
      <c r="C917" s="20"/>
      <c r="D917" s="20"/>
      <c r="E917" s="20"/>
      <c r="F917" s="20"/>
      <c r="G917" s="20"/>
      <c r="H917" s="20"/>
      <c r="I917" s="20"/>
      <c r="J917" s="20"/>
      <c r="Z917" s="20"/>
    </row>
    <row r="918">
      <c r="A918" s="20"/>
      <c r="B918" s="20"/>
      <c r="C918" s="20"/>
      <c r="D918" s="20"/>
      <c r="E918" s="20"/>
      <c r="F918" s="20"/>
      <c r="G918" s="20"/>
      <c r="H918" s="20"/>
      <c r="I918" s="20"/>
      <c r="J918" s="20"/>
      <c r="Z918" s="20"/>
    </row>
    <row r="919">
      <c r="A919" s="20"/>
      <c r="B919" s="20"/>
      <c r="C919" s="20"/>
      <c r="D919" s="20"/>
      <c r="E919" s="20"/>
      <c r="F919" s="20"/>
      <c r="G919" s="20"/>
      <c r="H919" s="20"/>
      <c r="I919" s="20"/>
      <c r="J919" s="20"/>
      <c r="Z919" s="20"/>
    </row>
    <row r="920">
      <c r="A920" s="20"/>
      <c r="B920" s="20"/>
      <c r="C920" s="20"/>
      <c r="D920" s="20"/>
      <c r="E920" s="20"/>
      <c r="F920" s="20"/>
      <c r="G920" s="20"/>
      <c r="H920" s="20"/>
      <c r="I920" s="20"/>
      <c r="J920" s="20"/>
      <c r="Z920" s="20"/>
    </row>
    <row r="921">
      <c r="A921" s="20"/>
      <c r="B921" s="20"/>
      <c r="C921" s="20"/>
      <c r="D921" s="20"/>
      <c r="E921" s="20"/>
      <c r="F921" s="20"/>
      <c r="G921" s="20"/>
      <c r="H921" s="20"/>
      <c r="I921" s="20"/>
      <c r="J921" s="20"/>
      <c r="Z921" s="20"/>
    </row>
    <row r="922">
      <c r="A922" s="20"/>
      <c r="B922" s="20"/>
      <c r="C922" s="20"/>
      <c r="D922" s="20"/>
      <c r="E922" s="20"/>
      <c r="F922" s="20"/>
      <c r="G922" s="20"/>
      <c r="H922" s="20"/>
      <c r="I922" s="20"/>
      <c r="J922" s="20"/>
      <c r="Z922" s="20"/>
    </row>
    <row r="923">
      <c r="A923" s="20"/>
      <c r="B923" s="20"/>
      <c r="C923" s="20"/>
      <c r="D923" s="20"/>
      <c r="E923" s="20"/>
      <c r="F923" s="20"/>
      <c r="G923" s="20"/>
      <c r="H923" s="20"/>
      <c r="I923" s="20"/>
      <c r="J923" s="20"/>
      <c r="Z923" s="20"/>
    </row>
    <row r="924">
      <c r="A924" s="20"/>
      <c r="B924" s="20"/>
      <c r="C924" s="20"/>
      <c r="D924" s="20"/>
      <c r="E924" s="20"/>
      <c r="F924" s="20"/>
      <c r="G924" s="20"/>
      <c r="H924" s="20"/>
      <c r="I924" s="20"/>
      <c r="J924" s="20"/>
      <c r="Z924" s="20"/>
    </row>
    <row r="925">
      <c r="A925" s="20"/>
      <c r="B925" s="20"/>
      <c r="C925" s="20"/>
      <c r="D925" s="20"/>
      <c r="E925" s="20"/>
      <c r="F925" s="20"/>
      <c r="G925" s="20"/>
      <c r="H925" s="20"/>
      <c r="I925" s="20"/>
      <c r="J925" s="20"/>
      <c r="Z925" s="20"/>
    </row>
    <row r="926">
      <c r="A926" s="20"/>
      <c r="B926" s="20"/>
      <c r="C926" s="20"/>
      <c r="D926" s="20"/>
      <c r="E926" s="20"/>
      <c r="F926" s="20"/>
      <c r="G926" s="20"/>
      <c r="H926" s="20"/>
      <c r="I926" s="20"/>
      <c r="J926" s="20"/>
      <c r="Z926" s="20"/>
    </row>
    <row r="927">
      <c r="A927" s="20"/>
      <c r="B927" s="20"/>
      <c r="C927" s="20"/>
      <c r="D927" s="20"/>
      <c r="E927" s="20"/>
      <c r="F927" s="20"/>
      <c r="G927" s="20"/>
      <c r="H927" s="20"/>
      <c r="I927" s="20"/>
      <c r="J927" s="20"/>
      <c r="Z927" s="20"/>
    </row>
    <row r="928">
      <c r="A928" s="20"/>
      <c r="B928" s="20"/>
      <c r="C928" s="20"/>
      <c r="D928" s="20"/>
      <c r="E928" s="20"/>
      <c r="F928" s="20"/>
      <c r="G928" s="20"/>
      <c r="H928" s="20"/>
      <c r="I928" s="20"/>
      <c r="J928" s="20"/>
      <c r="Z928" s="20"/>
    </row>
    <row r="929">
      <c r="A929" s="20"/>
      <c r="B929" s="20"/>
      <c r="C929" s="20"/>
      <c r="D929" s="20"/>
      <c r="E929" s="20"/>
      <c r="F929" s="20"/>
      <c r="G929" s="20"/>
      <c r="H929" s="20"/>
      <c r="I929" s="20"/>
      <c r="J929" s="20"/>
      <c r="Z929" s="20"/>
    </row>
    <row r="930">
      <c r="A930" s="20"/>
      <c r="B930" s="20"/>
      <c r="C930" s="20"/>
      <c r="D930" s="20"/>
      <c r="E930" s="20"/>
      <c r="F930" s="20"/>
      <c r="G930" s="20"/>
      <c r="H930" s="20"/>
      <c r="I930" s="20"/>
      <c r="J930" s="20"/>
      <c r="Z930" s="20"/>
    </row>
    <row r="931">
      <c r="A931" s="20"/>
      <c r="B931" s="20"/>
      <c r="C931" s="20"/>
      <c r="D931" s="20"/>
      <c r="E931" s="20"/>
      <c r="F931" s="20"/>
      <c r="G931" s="20"/>
      <c r="H931" s="20"/>
      <c r="I931" s="20"/>
      <c r="J931" s="20"/>
      <c r="Z931" s="20"/>
    </row>
    <row r="932">
      <c r="A932" s="20"/>
      <c r="B932" s="20"/>
      <c r="C932" s="20"/>
      <c r="D932" s="20"/>
      <c r="E932" s="20"/>
      <c r="F932" s="20"/>
      <c r="G932" s="20"/>
      <c r="H932" s="20"/>
      <c r="I932" s="20"/>
      <c r="J932" s="20"/>
      <c r="Z932" s="20"/>
    </row>
    <row r="933">
      <c r="A933" s="20"/>
      <c r="B933" s="20"/>
      <c r="C933" s="20"/>
      <c r="D933" s="20"/>
      <c r="E933" s="20"/>
      <c r="F933" s="20"/>
      <c r="G933" s="20"/>
      <c r="H933" s="20"/>
      <c r="I933" s="20"/>
      <c r="J933" s="20"/>
      <c r="Z933" s="20"/>
    </row>
    <row r="934">
      <c r="A934" s="20"/>
      <c r="B934" s="20"/>
      <c r="C934" s="20"/>
      <c r="D934" s="20"/>
      <c r="E934" s="20"/>
      <c r="F934" s="20"/>
      <c r="G934" s="20"/>
      <c r="H934" s="20"/>
      <c r="I934" s="20"/>
      <c r="J934" s="20"/>
      <c r="Z934" s="20"/>
    </row>
    <row r="935">
      <c r="A935" s="20"/>
      <c r="B935" s="20"/>
      <c r="C935" s="20"/>
      <c r="D935" s="20"/>
      <c r="E935" s="20"/>
      <c r="F935" s="20"/>
      <c r="G935" s="20"/>
      <c r="H935" s="20"/>
      <c r="I935" s="20"/>
      <c r="J935" s="20"/>
      <c r="Z935" s="20"/>
    </row>
    <row r="936">
      <c r="A936" s="20"/>
      <c r="B936" s="20"/>
      <c r="C936" s="20"/>
      <c r="D936" s="20"/>
      <c r="E936" s="20"/>
      <c r="F936" s="20"/>
      <c r="G936" s="20"/>
      <c r="H936" s="20"/>
      <c r="I936" s="20"/>
      <c r="J936" s="20"/>
      <c r="Z936" s="20"/>
    </row>
    <row r="937">
      <c r="A937" s="20"/>
      <c r="B937" s="20"/>
      <c r="C937" s="20"/>
      <c r="D937" s="20"/>
      <c r="E937" s="20"/>
      <c r="F937" s="20"/>
      <c r="G937" s="20"/>
      <c r="H937" s="20"/>
      <c r="I937" s="20"/>
      <c r="J937" s="20"/>
      <c r="Z937" s="20"/>
    </row>
    <row r="938">
      <c r="A938" s="20"/>
      <c r="B938" s="20"/>
      <c r="C938" s="20"/>
      <c r="D938" s="20"/>
      <c r="E938" s="20"/>
      <c r="F938" s="20"/>
      <c r="G938" s="20"/>
      <c r="H938" s="20"/>
      <c r="I938" s="20"/>
      <c r="J938" s="20"/>
      <c r="Z938" s="20"/>
    </row>
    <row r="939">
      <c r="A939" s="20"/>
      <c r="B939" s="20"/>
      <c r="C939" s="20"/>
      <c r="D939" s="20"/>
      <c r="E939" s="20"/>
      <c r="F939" s="20"/>
      <c r="G939" s="20"/>
      <c r="H939" s="20"/>
      <c r="I939" s="20"/>
      <c r="J939" s="20"/>
      <c r="Z939" s="20"/>
    </row>
    <row r="940">
      <c r="A940" s="20"/>
      <c r="B940" s="20"/>
      <c r="C940" s="20"/>
      <c r="D940" s="20"/>
      <c r="E940" s="20"/>
      <c r="F940" s="20"/>
      <c r="G940" s="20"/>
      <c r="H940" s="20"/>
      <c r="I940" s="20"/>
      <c r="J940" s="20"/>
      <c r="Z940" s="20"/>
    </row>
    <row r="941">
      <c r="A941" s="20"/>
      <c r="B941" s="20"/>
      <c r="C941" s="20"/>
      <c r="D941" s="20"/>
      <c r="E941" s="20"/>
      <c r="F941" s="20"/>
      <c r="G941" s="20"/>
      <c r="H941" s="20"/>
      <c r="I941" s="20"/>
      <c r="J941" s="20"/>
      <c r="Z941" s="20"/>
    </row>
    <row r="942">
      <c r="A942" s="20"/>
      <c r="B942" s="20"/>
      <c r="C942" s="20"/>
      <c r="D942" s="20"/>
      <c r="E942" s="20"/>
      <c r="F942" s="20"/>
      <c r="G942" s="20"/>
      <c r="H942" s="20"/>
      <c r="I942" s="20"/>
      <c r="J942" s="20"/>
      <c r="Z942" s="20"/>
    </row>
    <row r="943">
      <c r="A943" s="20"/>
      <c r="B943" s="20"/>
      <c r="C943" s="20"/>
      <c r="D943" s="20"/>
      <c r="E943" s="20"/>
      <c r="F943" s="20"/>
      <c r="G943" s="20"/>
      <c r="H943" s="20"/>
      <c r="I943" s="20"/>
      <c r="J943" s="20"/>
      <c r="Z943" s="20"/>
    </row>
    <row r="944">
      <c r="A944" s="20"/>
      <c r="B944" s="20"/>
      <c r="C944" s="20"/>
      <c r="D944" s="20"/>
      <c r="E944" s="20"/>
      <c r="F944" s="20"/>
      <c r="G944" s="20"/>
      <c r="H944" s="20"/>
      <c r="I944" s="20"/>
      <c r="J944" s="20"/>
      <c r="Z944" s="20"/>
    </row>
    <row r="945">
      <c r="A945" s="20"/>
      <c r="B945" s="20"/>
      <c r="C945" s="20"/>
      <c r="D945" s="20"/>
      <c r="E945" s="20"/>
      <c r="F945" s="20"/>
      <c r="G945" s="20"/>
      <c r="H945" s="20"/>
      <c r="I945" s="20"/>
      <c r="J945" s="20"/>
      <c r="Z945" s="20"/>
    </row>
    <row r="946">
      <c r="A946" s="20"/>
      <c r="B946" s="20"/>
      <c r="C946" s="20"/>
      <c r="D946" s="20"/>
      <c r="E946" s="20"/>
      <c r="F946" s="20"/>
      <c r="G946" s="20"/>
      <c r="H946" s="20"/>
      <c r="I946" s="20"/>
      <c r="J946" s="20"/>
      <c r="Z946" s="20"/>
    </row>
    <row r="947">
      <c r="A947" s="20"/>
      <c r="B947" s="20"/>
      <c r="C947" s="20"/>
      <c r="D947" s="20"/>
      <c r="E947" s="20"/>
      <c r="F947" s="20"/>
      <c r="G947" s="20"/>
      <c r="H947" s="20"/>
      <c r="I947" s="20"/>
      <c r="J947" s="20"/>
      <c r="Z947" s="20"/>
    </row>
    <row r="948">
      <c r="A948" s="20"/>
      <c r="B948" s="20"/>
      <c r="C948" s="20"/>
      <c r="D948" s="20"/>
      <c r="E948" s="20"/>
      <c r="F948" s="20"/>
      <c r="G948" s="20"/>
      <c r="H948" s="20"/>
      <c r="I948" s="20"/>
      <c r="J948" s="20"/>
      <c r="Z948" s="20"/>
    </row>
    <row r="949">
      <c r="A949" s="20"/>
      <c r="B949" s="20"/>
      <c r="C949" s="20"/>
      <c r="D949" s="20"/>
      <c r="E949" s="20"/>
      <c r="F949" s="20"/>
      <c r="G949" s="20"/>
      <c r="H949" s="20"/>
      <c r="I949" s="20"/>
      <c r="J949" s="20"/>
      <c r="Z949" s="20"/>
    </row>
    <row r="950">
      <c r="A950" s="20"/>
      <c r="B950" s="20"/>
      <c r="C950" s="20"/>
      <c r="D950" s="20"/>
      <c r="E950" s="20"/>
      <c r="F950" s="20"/>
      <c r="G950" s="20"/>
      <c r="H950" s="20"/>
      <c r="I950" s="20"/>
      <c r="J950" s="20"/>
      <c r="Z950" s="20"/>
    </row>
    <row r="951">
      <c r="A951" s="20"/>
      <c r="B951" s="20"/>
      <c r="C951" s="20"/>
      <c r="D951" s="20"/>
      <c r="E951" s="20"/>
      <c r="F951" s="20"/>
      <c r="G951" s="20"/>
      <c r="H951" s="20"/>
      <c r="I951" s="20"/>
      <c r="J951" s="20"/>
      <c r="Z951" s="20"/>
    </row>
    <row r="952">
      <c r="A952" s="20"/>
      <c r="B952" s="20"/>
      <c r="C952" s="20"/>
      <c r="D952" s="20"/>
      <c r="E952" s="20"/>
      <c r="F952" s="20"/>
      <c r="G952" s="20"/>
      <c r="H952" s="20"/>
      <c r="I952" s="20"/>
      <c r="J952" s="20"/>
      <c r="Z952" s="20"/>
    </row>
    <row r="953">
      <c r="A953" s="20"/>
      <c r="B953" s="20"/>
      <c r="C953" s="20"/>
      <c r="D953" s="20"/>
      <c r="E953" s="20"/>
      <c r="F953" s="20"/>
      <c r="G953" s="20"/>
      <c r="H953" s="20"/>
      <c r="I953" s="20"/>
      <c r="J953" s="20"/>
      <c r="Z953" s="20"/>
    </row>
    <row r="954">
      <c r="A954" s="20"/>
      <c r="B954" s="20"/>
      <c r="C954" s="20"/>
      <c r="D954" s="20"/>
      <c r="E954" s="20"/>
      <c r="F954" s="20"/>
      <c r="G954" s="20"/>
      <c r="H954" s="20"/>
      <c r="I954" s="20"/>
      <c r="J954" s="20"/>
      <c r="Z954" s="20"/>
    </row>
    <row r="955">
      <c r="A955" s="20"/>
      <c r="B955" s="20"/>
      <c r="C955" s="20"/>
      <c r="D955" s="20"/>
      <c r="E955" s="20"/>
      <c r="F955" s="20"/>
      <c r="G955" s="20"/>
      <c r="H955" s="20"/>
      <c r="I955" s="20"/>
      <c r="J955" s="20"/>
      <c r="Z955" s="20"/>
    </row>
    <row r="956">
      <c r="A956" s="20"/>
      <c r="B956" s="20"/>
      <c r="C956" s="20"/>
      <c r="D956" s="20"/>
      <c r="E956" s="20"/>
      <c r="F956" s="20"/>
      <c r="G956" s="20"/>
      <c r="H956" s="20"/>
      <c r="I956" s="20"/>
      <c r="J956" s="20"/>
      <c r="Z956" s="20"/>
    </row>
    <row r="957">
      <c r="A957" s="20"/>
      <c r="B957" s="20"/>
      <c r="C957" s="20"/>
      <c r="D957" s="20"/>
      <c r="E957" s="20"/>
      <c r="F957" s="20"/>
      <c r="G957" s="20"/>
      <c r="H957" s="20"/>
      <c r="I957" s="20"/>
      <c r="J957" s="20"/>
      <c r="Z957" s="20"/>
    </row>
    <row r="958">
      <c r="A958" s="20"/>
      <c r="B958" s="20"/>
      <c r="C958" s="20"/>
      <c r="D958" s="20"/>
      <c r="E958" s="20"/>
      <c r="F958" s="20"/>
      <c r="G958" s="20"/>
      <c r="H958" s="20"/>
      <c r="I958" s="20"/>
      <c r="J958" s="20"/>
      <c r="Z958" s="20"/>
    </row>
    <row r="959">
      <c r="A959" s="20"/>
      <c r="B959" s="20"/>
      <c r="C959" s="20"/>
      <c r="D959" s="20"/>
      <c r="E959" s="20"/>
      <c r="F959" s="20"/>
      <c r="G959" s="20"/>
      <c r="H959" s="20"/>
      <c r="I959" s="20"/>
      <c r="J959" s="20"/>
      <c r="Z959" s="20"/>
    </row>
    <row r="960">
      <c r="A960" s="20"/>
      <c r="B960" s="20"/>
      <c r="C960" s="20"/>
      <c r="D960" s="20"/>
      <c r="E960" s="20"/>
      <c r="F960" s="20"/>
      <c r="G960" s="20"/>
      <c r="H960" s="20"/>
      <c r="I960" s="20"/>
      <c r="J960" s="20"/>
      <c r="Z960" s="20"/>
    </row>
    <row r="961">
      <c r="A961" s="20"/>
      <c r="B961" s="20"/>
      <c r="C961" s="20"/>
      <c r="D961" s="20"/>
      <c r="E961" s="20"/>
      <c r="F961" s="20"/>
      <c r="G961" s="20"/>
      <c r="H961" s="20"/>
      <c r="I961" s="20"/>
      <c r="J961" s="20"/>
      <c r="Z961" s="20"/>
    </row>
    <row r="962">
      <c r="A962" s="20"/>
      <c r="B962" s="20"/>
      <c r="C962" s="20"/>
      <c r="D962" s="20"/>
      <c r="E962" s="20"/>
      <c r="F962" s="20"/>
      <c r="G962" s="20"/>
      <c r="H962" s="20"/>
      <c r="I962" s="20"/>
      <c r="J962" s="20"/>
      <c r="Z962" s="20"/>
    </row>
    <row r="963">
      <c r="A963" s="20"/>
      <c r="B963" s="20"/>
      <c r="C963" s="20"/>
      <c r="D963" s="20"/>
      <c r="E963" s="20"/>
      <c r="F963" s="20"/>
      <c r="G963" s="20"/>
      <c r="H963" s="20"/>
      <c r="I963" s="20"/>
      <c r="J963" s="20"/>
      <c r="Z963" s="20"/>
    </row>
    <row r="964">
      <c r="A964" s="20"/>
      <c r="B964" s="20"/>
      <c r="C964" s="20"/>
      <c r="D964" s="20"/>
      <c r="E964" s="20"/>
      <c r="F964" s="20"/>
      <c r="G964" s="20"/>
      <c r="H964" s="20"/>
      <c r="I964" s="20"/>
      <c r="J964" s="20"/>
      <c r="Z964" s="20"/>
    </row>
    <row r="965">
      <c r="A965" s="20"/>
      <c r="B965" s="20"/>
      <c r="C965" s="20"/>
      <c r="D965" s="20"/>
      <c r="E965" s="20"/>
      <c r="F965" s="20"/>
      <c r="G965" s="20"/>
      <c r="H965" s="20"/>
      <c r="I965" s="20"/>
      <c r="J965" s="20"/>
      <c r="Z965" s="20"/>
    </row>
    <row r="966">
      <c r="A966" s="20"/>
      <c r="B966" s="20"/>
      <c r="C966" s="20"/>
      <c r="D966" s="20"/>
      <c r="E966" s="20"/>
      <c r="F966" s="20"/>
      <c r="G966" s="20"/>
      <c r="H966" s="20"/>
      <c r="I966" s="20"/>
      <c r="J966" s="20"/>
      <c r="Z966" s="20"/>
    </row>
    <row r="967">
      <c r="A967" s="20"/>
      <c r="B967" s="20"/>
      <c r="C967" s="20"/>
      <c r="D967" s="20"/>
      <c r="E967" s="20"/>
      <c r="F967" s="20"/>
      <c r="G967" s="20"/>
      <c r="H967" s="20"/>
      <c r="I967" s="20"/>
      <c r="J967" s="20"/>
      <c r="Z967" s="20"/>
    </row>
    <row r="968">
      <c r="A968" s="20"/>
      <c r="B968" s="20"/>
      <c r="C968" s="20"/>
      <c r="D968" s="20"/>
      <c r="E968" s="20"/>
      <c r="F968" s="20"/>
      <c r="G968" s="20"/>
      <c r="H968" s="20"/>
      <c r="I968" s="20"/>
      <c r="J968" s="20"/>
      <c r="Z968" s="20"/>
    </row>
    <row r="969">
      <c r="A969" s="20"/>
      <c r="B969" s="20"/>
      <c r="C969" s="20"/>
      <c r="D969" s="20"/>
      <c r="E969" s="20"/>
      <c r="F969" s="20"/>
      <c r="G969" s="20"/>
      <c r="H969" s="20"/>
      <c r="I969" s="20"/>
      <c r="J969" s="20"/>
      <c r="Z969" s="20"/>
    </row>
    <row r="970">
      <c r="A970" s="20"/>
      <c r="B970" s="20"/>
      <c r="C970" s="20"/>
      <c r="D970" s="20"/>
      <c r="E970" s="20"/>
      <c r="F970" s="20"/>
      <c r="G970" s="20"/>
      <c r="H970" s="20"/>
      <c r="I970" s="20"/>
      <c r="J970" s="20"/>
      <c r="Z970" s="20"/>
    </row>
    <row r="971">
      <c r="A971" s="20"/>
      <c r="B971" s="20"/>
      <c r="C971" s="20"/>
      <c r="D971" s="20"/>
      <c r="E971" s="20"/>
      <c r="F971" s="20"/>
      <c r="G971" s="20"/>
      <c r="H971" s="20"/>
      <c r="I971" s="20"/>
      <c r="J971" s="20"/>
      <c r="Z971" s="20"/>
    </row>
    <row r="972">
      <c r="A972" s="20"/>
      <c r="B972" s="20"/>
      <c r="C972" s="20"/>
      <c r="D972" s="20"/>
      <c r="E972" s="20"/>
      <c r="F972" s="20"/>
      <c r="G972" s="20"/>
      <c r="H972" s="20"/>
      <c r="I972" s="20"/>
      <c r="J972" s="20"/>
      <c r="Z972" s="20"/>
    </row>
    <row r="973">
      <c r="A973" s="20"/>
      <c r="B973" s="20"/>
      <c r="C973" s="20"/>
      <c r="D973" s="20"/>
      <c r="E973" s="20"/>
      <c r="F973" s="20"/>
      <c r="G973" s="20"/>
      <c r="H973" s="20"/>
      <c r="I973" s="20"/>
      <c r="J973" s="20"/>
      <c r="Z973" s="20"/>
    </row>
    <row r="974">
      <c r="A974" s="20"/>
      <c r="B974" s="20"/>
      <c r="C974" s="20"/>
      <c r="D974" s="20"/>
      <c r="E974" s="20"/>
      <c r="F974" s="20"/>
      <c r="G974" s="20"/>
      <c r="H974" s="20"/>
      <c r="I974" s="20"/>
      <c r="J974" s="20"/>
      <c r="Z974" s="20"/>
    </row>
    <row r="975">
      <c r="A975" s="20"/>
      <c r="B975" s="20"/>
      <c r="C975" s="20"/>
      <c r="D975" s="20"/>
      <c r="E975" s="20"/>
      <c r="F975" s="20"/>
      <c r="G975" s="20"/>
      <c r="H975" s="20"/>
      <c r="I975" s="20"/>
      <c r="J975" s="20"/>
      <c r="Z975" s="20"/>
    </row>
    <row r="976">
      <c r="A976" s="20"/>
      <c r="B976" s="20"/>
      <c r="C976" s="20"/>
      <c r="D976" s="20"/>
      <c r="E976" s="20"/>
      <c r="F976" s="20"/>
      <c r="G976" s="20"/>
      <c r="H976" s="20"/>
      <c r="I976" s="20"/>
      <c r="J976" s="20"/>
      <c r="Z976" s="20"/>
    </row>
    <row r="977">
      <c r="A977" s="20"/>
      <c r="B977" s="20"/>
      <c r="C977" s="20"/>
      <c r="D977" s="20"/>
      <c r="E977" s="20"/>
      <c r="F977" s="20"/>
      <c r="G977" s="20"/>
      <c r="H977" s="20"/>
      <c r="I977" s="20"/>
      <c r="J977" s="20"/>
      <c r="Z977" s="20"/>
    </row>
    <row r="978">
      <c r="A978" s="20"/>
      <c r="B978" s="20"/>
      <c r="C978" s="20"/>
      <c r="D978" s="20"/>
      <c r="E978" s="20"/>
      <c r="F978" s="20"/>
      <c r="G978" s="20"/>
      <c r="H978" s="20"/>
      <c r="I978" s="20"/>
      <c r="J978" s="20"/>
      <c r="Z978" s="20"/>
    </row>
    <row r="979">
      <c r="A979" s="20"/>
      <c r="B979" s="20"/>
      <c r="C979" s="20"/>
      <c r="D979" s="20"/>
      <c r="E979" s="20"/>
      <c r="F979" s="20"/>
      <c r="G979" s="20"/>
      <c r="H979" s="20"/>
      <c r="I979" s="20"/>
      <c r="J979" s="20"/>
      <c r="Z979" s="20"/>
    </row>
    <row r="980">
      <c r="A980" s="20"/>
      <c r="B980" s="20"/>
      <c r="C980" s="20"/>
      <c r="D980" s="20"/>
      <c r="E980" s="20"/>
      <c r="F980" s="20"/>
      <c r="G980" s="20"/>
      <c r="H980" s="20"/>
      <c r="I980" s="20"/>
      <c r="J980" s="20"/>
      <c r="Z980" s="20"/>
    </row>
    <row r="981">
      <c r="A981" s="20"/>
      <c r="B981" s="20"/>
      <c r="C981" s="20"/>
      <c r="D981" s="20"/>
      <c r="E981" s="20"/>
      <c r="F981" s="20"/>
      <c r="G981" s="20"/>
      <c r="H981" s="20"/>
      <c r="I981" s="20"/>
      <c r="J981" s="20"/>
      <c r="Z981" s="20"/>
    </row>
    <row r="982">
      <c r="A982" s="20"/>
      <c r="B982" s="20"/>
      <c r="C982" s="20"/>
      <c r="D982" s="20"/>
      <c r="E982" s="20"/>
      <c r="F982" s="20"/>
      <c r="G982" s="20"/>
      <c r="H982" s="20"/>
      <c r="I982" s="20"/>
      <c r="J982" s="20"/>
      <c r="Z982" s="20"/>
    </row>
    <row r="983">
      <c r="A983" s="20"/>
      <c r="B983" s="20"/>
      <c r="C983" s="20"/>
      <c r="D983" s="20"/>
      <c r="E983" s="20"/>
      <c r="F983" s="20"/>
      <c r="G983" s="20"/>
      <c r="H983" s="20"/>
      <c r="I983" s="20"/>
      <c r="J983" s="20"/>
      <c r="Z983" s="20"/>
    </row>
    <row r="984">
      <c r="A984" s="20"/>
      <c r="B984" s="20"/>
      <c r="C984" s="20"/>
      <c r="D984" s="20"/>
      <c r="E984" s="20"/>
      <c r="F984" s="20"/>
      <c r="G984" s="20"/>
      <c r="H984" s="20"/>
      <c r="I984" s="20"/>
      <c r="J984" s="20"/>
      <c r="Z984" s="20"/>
    </row>
    <row r="985">
      <c r="A985" s="20"/>
      <c r="B985" s="20"/>
      <c r="C985" s="20"/>
      <c r="D985" s="20"/>
      <c r="E985" s="20"/>
      <c r="F985" s="20"/>
      <c r="G985" s="20"/>
      <c r="H985" s="20"/>
      <c r="I985" s="20"/>
      <c r="J985" s="20"/>
      <c r="Z985" s="20"/>
    </row>
    <row r="986">
      <c r="A986" s="20"/>
      <c r="B986" s="20"/>
      <c r="C986" s="20"/>
      <c r="D986" s="20"/>
      <c r="E986" s="20"/>
      <c r="F986" s="20"/>
      <c r="G986" s="20"/>
      <c r="H986" s="20"/>
      <c r="I986" s="20"/>
      <c r="J986" s="20"/>
      <c r="Z986" s="20"/>
    </row>
    <row r="987">
      <c r="A987" s="20"/>
      <c r="B987" s="20"/>
      <c r="C987" s="20"/>
      <c r="D987" s="20"/>
      <c r="E987" s="20"/>
      <c r="F987" s="20"/>
      <c r="G987" s="20"/>
      <c r="H987" s="20"/>
      <c r="I987" s="20"/>
      <c r="J987" s="20"/>
      <c r="Z987" s="20"/>
    </row>
    <row r="988">
      <c r="A988" s="20"/>
      <c r="B988" s="20"/>
      <c r="C988" s="20"/>
      <c r="D988" s="20"/>
      <c r="E988" s="20"/>
      <c r="F988" s="20"/>
      <c r="G988" s="20"/>
      <c r="H988" s="20"/>
      <c r="I988" s="20"/>
      <c r="J988" s="20"/>
      <c r="Z988" s="20"/>
    </row>
    <row r="989">
      <c r="A989" s="20"/>
      <c r="B989" s="20"/>
      <c r="C989" s="20"/>
      <c r="D989" s="20"/>
      <c r="E989" s="20"/>
      <c r="F989" s="20"/>
      <c r="G989" s="20"/>
      <c r="H989" s="20"/>
      <c r="I989" s="20"/>
      <c r="J989" s="20"/>
      <c r="Z989" s="20"/>
    </row>
    <row r="990">
      <c r="A990" s="20"/>
      <c r="B990" s="20"/>
      <c r="C990" s="20"/>
      <c r="D990" s="20"/>
      <c r="E990" s="20"/>
      <c r="F990" s="20"/>
      <c r="G990" s="20"/>
      <c r="H990" s="20"/>
      <c r="I990" s="20"/>
      <c r="J990" s="20"/>
      <c r="Z990" s="20"/>
    </row>
    <row r="991">
      <c r="A991" s="20"/>
      <c r="B991" s="20"/>
      <c r="C991" s="20"/>
      <c r="D991" s="20"/>
      <c r="E991" s="20"/>
      <c r="F991" s="20"/>
      <c r="G991" s="20"/>
      <c r="H991" s="20"/>
      <c r="I991" s="20"/>
      <c r="J991" s="20"/>
      <c r="Z991" s="20"/>
    </row>
    <row r="992">
      <c r="A992" s="20"/>
      <c r="B992" s="20"/>
      <c r="C992" s="20"/>
      <c r="D992" s="20"/>
      <c r="E992" s="20"/>
      <c r="F992" s="20"/>
      <c r="G992" s="20"/>
      <c r="H992" s="20"/>
      <c r="I992" s="20"/>
      <c r="J992" s="20"/>
      <c r="Z992" s="20"/>
    </row>
    <row r="993">
      <c r="A993" s="20"/>
      <c r="B993" s="20"/>
      <c r="C993" s="20"/>
      <c r="D993" s="20"/>
      <c r="E993" s="20"/>
      <c r="F993" s="20"/>
      <c r="G993" s="20"/>
      <c r="H993" s="20"/>
      <c r="I993" s="20"/>
      <c r="J993" s="20"/>
      <c r="Z993" s="20"/>
    </row>
    <row r="994">
      <c r="A994" s="20"/>
      <c r="B994" s="20"/>
      <c r="C994" s="20"/>
      <c r="D994" s="20"/>
      <c r="E994" s="20"/>
      <c r="F994" s="20"/>
      <c r="G994" s="20"/>
      <c r="H994" s="20"/>
      <c r="I994" s="20"/>
      <c r="J994" s="20"/>
      <c r="Z994" s="20"/>
    </row>
    <row r="995">
      <c r="A995" s="20"/>
      <c r="B995" s="20"/>
      <c r="C995" s="20"/>
      <c r="D995" s="20"/>
      <c r="E995" s="20"/>
      <c r="F995" s="20"/>
      <c r="G995" s="20"/>
      <c r="H995" s="20"/>
      <c r="I995" s="20"/>
      <c r="J995" s="20"/>
      <c r="Z995" s="20"/>
    </row>
    <row r="996">
      <c r="A996" s="20"/>
      <c r="B996" s="20"/>
      <c r="C996" s="20"/>
      <c r="D996" s="20"/>
      <c r="E996" s="20"/>
      <c r="F996" s="20"/>
      <c r="G996" s="20"/>
      <c r="H996" s="20"/>
      <c r="I996" s="20"/>
      <c r="J996" s="20"/>
      <c r="Z996" s="20"/>
    </row>
    <row r="997">
      <c r="A997" s="20"/>
      <c r="B997" s="20"/>
      <c r="C997" s="20"/>
      <c r="D997" s="20"/>
      <c r="E997" s="20"/>
      <c r="F997" s="20"/>
      <c r="G997" s="20"/>
      <c r="H997" s="20"/>
      <c r="I997" s="20"/>
      <c r="J997" s="20"/>
      <c r="Z997" s="20"/>
    </row>
    <row r="998">
      <c r="A998" s="20"/>
      <c r="B998" s="20"/>
      <c r="C998" s="20"/>
      <c r="D998" s="20"/>
      <c r="E998" s="20"/>
      <c r="F998" s="20"/>
      <c r="G998" s="20"/>
      <c r="H998" s="20"/>
      <c r="I998" s="20"/>
      <c r="J998" s="20"/>
      <c r="Z998" s="20"/>
    </row>
    <row r="999">
      <c r="A999" s="20"/>
      <c r="B999" s="20"/>
      <c r="C999" s="20"/>
      <c r="D999" s="20"/>
      <c r="E999" s="20"/>
      <c r="F999" s="20"/>
      <c r="G999" s="20"/>
      <c r="H999" s="20"/>
      <c r="I999" s="20"/>
      <c r="J999" s="20"/>
      <c r="Z999" s="20"/>
    </row>
    <row r="1000">
      <c r="A1000" s="20"/>
      <c r="B1000" s="20"/>
      <c r="C1000" s="20"/>
      <c r="D1000" s="20"/>
      <c r="E1000" s="20"/>
      <c r="F1000" s="20"/>
      <c r="G1000" s="20"/>
      <c r="H1000" s="20"/>
      <c r="I1000" s="20"/>
      <c r="J1000" s="20"/>
      <c r="Z1000" s="20"/>
    </row>
    <row r="1001">
      <c r="A1001" s="20"/>
      <c r="B1001" s="20"/>
      <c r="C1001" s="20"/>
      <c r="D1001" s="20"/>
      <c r="E1001" s="20"/>
      <c r="F1001" s="20"/>
      <c r="G1001" s="20"/>
      <c r="H1001" s="20"/>
      <c r="I1001" s="20"/>
      <c r="J1001" s="20"/>
      <c r="Z1001" s="20"/>
    </row>
    <row r="1002">
      <c r="A1002" s="20"/>
      <c r="B1002" s="20"/>
      <c r="C1002" s="20"/>
      <c r="D1002" s="20"/>
      <c r="E1002" s="20"/>
      <c r="F1002" s="20"/>
      <c r="G1002" s="20"/>
      <c r="H1002" s="20"/>
      <c r="I1002" s="20"/>
      <c r="J1002" s="20"/>
      <c r="Z1002" s="20"/>
    </row>
    <row r="1003">
      <c r="A1003" s="20"/>
      <c r="B1003" s="20"/>
      <c r="C1003" s="20"/>
      <c r="D1003" s="20"/>
      <c r="E1003" s="20"/>
      <c r="F1003" s="20"/>
      <c r="G1003" s="20"/>
      <c r="H1003" s="20"/>
      <c r="I1003" s="20"/>
      <c r="J1003" s="20"/>
      <c r="Z1003" s="20"/>
    </row>
    <row r="1004">
      <c r="A1004" s="20"/>
      <c r="B1004" s="20"/>
      <c r="C1004" s="20"/>
      <c r="D1004" s="20"/>
      <c r="E1004" s="20"/>
      <c r="F1004" s="20"/>
      <c r="G1004" s="20"/>
      <c r="H1004" s="20"/>
      <c r="I1004" s="20"/>
      <c r="J1004" s="20"/>
      <c r="Z1004" s="20"/>
    </row>
    <row r="1005">
      <c r="A1005" s="20"/>
      <c r="B1005" s="20"/>
      <c r="C1005" s="20"/>
      <c r="D1005" s="20"/>
      <c r="E1005" s="20"/>
      <c r="F1005" s="20"/>
      <c r="G1005" s="20"/>
      <c r="H1005" s="20"/>
      <c r="I1005" s="20"/>
      <c r="J1005" s="20"/>
      <c r="Z1005" s="20"/>
    </row>
    <row r="1006">
      <c r="A1006" s="20"/>
      <c r="B1006" s="20"/>
      <c r="C1006" s="20"/>
      <c r="D1006" s="20"/>
      <c r="E1006" s="20"/>
      <c r="F1006" s="20"/>
      <c r="G1006" s="20"/>
      <c r="H1006" s="20"/>
      <c r="I1006" s="20"/>
      <c r="J1006" s="20"/>
      <c r="Z1006" s="20"/>
    </row>
    <row r="1007">
      <c r="A1007" s="20"/>
      <c r="B1007" s="20"/>
      <c r="C1007" s="20"/>
      <c r="D1007" s="20"/>
      <c r="E1007" s="20"/>
      <c r="F1007" s="20"/>
      <c r="G1007" s="20"/>
      <c r="H1007" s="20"/>
      <c r="I1007" s="20"/>
      <c r="J1007" s="20"/>
      <c r="Z1007" s="20"/>
    </row>
    <row r="1008">
      <c r="A1008" s="20"/>
      <c r="B1008" s="20"/>
      <c r="C1008" s="20"/>
      <c r="D1008" s="20"/>
      <c r="E1008" s="20"/>
      <c r="F1008" s="20"/>
      <c r="G1008" s="20"/>
      <c r="H1008" s="20"/>
      <c r="I1008" s="20"/>
      <c r="J1008" s="20"/>
      <c r="Z1008" s="20"/>
    </row>
    <row r="1009">
      <c r="A1009" s="20"/>
      <c r="B1009" s="20"/>
      <c r="C1009" s="20"/>
      <c r="D1009" s="20"/>
      <c r="E1009" s="20"/>
      <c r="F1009" s="20"/>
      <c r="G1009" s="20"/>
      <c r="H1009" s="20"/>
      <c r="I1009" s="20"/>
      <c r="J1009" s="20"/>
      <c r="Z1009" s="20"/>
    </row>
    <row r="1010">
      <c r="A1010" s="20"/>
      <c r="B1010" s="20"/>
      <c r="C1010" s="20"/>
      <c r="D1010" s="20"/>
      <c r="E1010" s="20"/>
      <c r="F1010" s="20"/>
      <c r="G1010" s="20"/>
      <c r="H1010" s="20"/>
      <c r="I1010" s="20"/>
      <c r="J1010" s="20"/>
      <c r="Z1010" s="20"/>
    </row>
    <row r="1011">
      <c r="A1011" s="20"/>
      <c r="B1011" s="20"/>
      <c r="C1011" s="20"/>
      <c r="D1011" s="20"/>
      <c r="E1011" s="20"/>
      <c r="F1011" s="20"/>
      <c r="G1011" s="20"/>
      <c r="H1011" s="20"/>
      <c r="I1011" s="20"/>
      <c r="J1011" s="20"/>
      <c r="Z1011" s="20"/>
    </row>
    <row r="1012">
      <c r="A1012" s="20"/>
      <c r="B1012" s="20"/>
      <c r="C1012" s="20"/>
      <c r="D1012" s="20"/>
      <c r="E1012" s="20"/>
      <c r="F1012" s="20"/>
      <c r="G1012" s="20"/>
      <c r="H1012" s="20"/>
      <c r="I1012" s="20"/>
      <c r="J1012" s="20"/>
      <c r="Z1012" s="20"/>
    </row>
    <row r="1013">
      <c r="A1013" s="20"/>
      <c r="B1013" s="20"/>
      <c r="C1013" s="20"/>
      <c r="D1013" s="20"/>
      <c r="E1013" s="20"/>
      <c r="F1013" s="20"/>
      <c r="G1013" s="20"/>
      <c r="H1013" s="20"/>
      <c r="I1013" s="20"/>
      <c r="J1013" s="20"/>
      <c r="Z1013" s="20"/>
    </row>
    <row r="1014">
      <c r="A1014" s="20"/>
      <c r="B1014" s="20"/>
      <c r="C1014" s="20"/>
      <c r="D1014" s="20"/>
      <c r="E1014" s="20"/>
      <c r="F1014" s="20"/>
      <c r="G1014" s="20"/>
      <c r="H1014" s="20"/>
      <c r="I1014" s="20"/>
      <c r="J1014" s="20"/>
      <c r="Z1014" s="20"/>
    </row>
    <row r="1015">
      <c r="A1015" s="20"/>
      <c r="B1015" s="20"/>
      <c r="C1015" s="20"/>
      <c r="D1015" s="20"/>
      <c r="E1015" s="20"/>
      <c r="F1015" s="20"/>
      <c r="G1015" s="20"/>
      <c r="H1015" s="20"/>
      <c r="I1015" s="20"/>
      <c r="J1015" s="20"/>
      <c r="Z1015" s="20"/>
    </row>
    <row r="1016">
      <c r="A1016" s="20"/>
      <c r="B1016" s="20"/>
      <c r="C1016" s="20"/>
      <c r="D1016" s="20"/>
      <c r="E1016" s="20"/>
      <c r="F1016" s="20"/>
      <c r="G1016" s="20"/>
      <c r="H1016" s="20"/>
      <c r="I1016" s="20"/>
      <c r="J1016" s="20"/>
      <c r="Z1016" s="20"/>
    </row>
    <row r="1017">
      <c r="A1017" s="20"/>
      <c r="B1017" s="20"/>
      <c r="C1017" s="20"/>
      <c r="D1017" s="20"/>
      <c r="E1017" s="20"/>
      <c r="F1017" s="20"/>
      <c r="G1017" s="20"/>
      <c r="H1017" s="20"/>
      <c r="I1017" s="20"/>
      <c r="J1017" s="20"/>
      <c r="Z1017" s="20"/>
    </row>
    <row r="1018">
      <c r="A1018" s="20"/>
      <c r="B1018" s="20"/>
      <c r="C1018" s="20"/>
      <c r="D1018" s="20"/>
      <c r="E1018" s="20"/>
      <c r="F1018" s="20"/>
      <c r="G1018" s="20"/>
      <c r="H1018" s="20"/>
      <c r="I1018" s="20"/>
      <c r="J1018" s="20"/>
      <c r="Z1018" s="20"/>
    </row>
    <row r="1019">
      <c r="A1019" s="20"/>
      <c r="B1019" s="20"/>
      <c r="C1019" s="20"/>
      <c r="D1019" s="20"/>
      <c r="E1019" s="20"/>
      <c r="F1019" s="20"/>
      <c r="G1019" s="20"/>
      <c r="H1019" s="20"/>
      <c r="I1019" s="20"/>
      <c r="J1019" s="20"/>
      <c r="Z1019" s="20"/>
    </row>
    <row r="1020">
      <c r="A1020" s="20"/>
      <c r="B1020" s="20"/>
      <c r="C1020" s="20"/>
      <c r="D1020" s="20"/>
      <c r="E1020" s="20"/>
      <c r="F1020" s="20"/>
      <c r="G1020" s="20"/>
      <c r="H1020" s="20"/>
      <c r="I1020" s="20"/>
      <c r="J1020" s="20"/>
      <c r="Z1020" s="20"/>
    </row>
    <row r="1021">
      <c r="A1021" s="20"/>
      <c r="B1021" s="20"/>
      <c r="C1021" s="20"/>
      <c r="D1021" s="20"/>
      <c r="E1021" s="20"/>
      <c r="F1021" s="20"/>
      <c r="G1021" s="20"/>
      <c r="H1021" s="20"/>
      <c r="I1021" s="20"/>
      <c r="J1021" s="20"/>
      <c r="Z1021" s="20"/>
    </row>
    <row r="1022">
      <c r="A1022" s="20"/>
      <c r="B1022" s="20"/>
      <c r="C1022" s="20"/>
      <c r="D1022" s="20"/>
      <c r="E1022" s="20"/>
      <c r="F1022" s="20"/>
      <c r="G1022" s="20"/>
      <c r="H1022" s="20"/>
      <c r="I1022" s="20"/>
      <c r="J1022" s="20"/>
      <c r="Z1022" s="20"/>
    </row>
    <row r="1023">
      <c r="A1023" s="20"/>
      <c r="B1023" s="20"/>
      <c r="C1023" s="20"/>
      <c r="D1023" s="20"/>
      <c r="E1023" s="20"/>
      <c r="F1023" s="20"/>
      <c r="G1023" s="20"/>
      <c r="H1023" s="20"/>
      <c r="I1023" s="20"/>
      <c r="J1023" s="20"/>
      <c r="Z1023" s="20"/>
    </row>
    <row r="1024">
      <c r="A1024" s="20"/>
      <c r="B1024" s="20"/>
      <c r="C1024" s="20"/>
      <c r="D1024" s="20"/>
      <c r="E1024" s="20"/>
      <c r="F1024" s="20"/>
      <c r="G1024" s="20"/>
      <c r="H1024" s="20"/>
      <c r="I1024" s="20"/>
      <c r="J1024" s="20"/>
      <c r="Z1024" s="20"/>
    </row>
    <row r="1025">
      <c r="A1025" s="20"/>
      <c r="B1025" s="20"/>
      <c r="C1025" s="20"/>
      <c r="D1025" s="20"/>
      <c r="E1025" s="20"/>
      <c r="F1025" s="20"/>
      <c r="G1025" s="20"/>
      <c r="H1025" s="20"/>
      <c r="I1025" s="20"/>
      <c r="J1025" s="20"/>
      <c r="Z1025" s="20"/>
    </row>
    <row r="1026">
      <c r="A1026" s="20"/>
      <c r="B1026" s="20"/>
      <c r="C1026" s="20"/>
      <c r="D1026" s="20"/>
      <c r="E1026" s="20"/>
      <c r="F1026" s="20"/>
      <c r="G1026" s="20"/>
      <c r="H1026" s="20"/>
      <c r="I1026" s="20"/>
      <c r="J1026" s="20"/>
      <c r="Z1026" s="20"/>
    </row>
    <row r="1027">
      <c r="A1027" s="20"/>
      <c r="B1027" s="20"/>
      <c r="C1027" s="20"/>
      <c r="D1027" s="20"/>
      <c r="E1027" s="20"/>
      <c r="F1027" s="20"/>
      <c r="G1027" s="20"/>
      <c r="H1027" s="20"/>
      <c r="I1027" s="20"/>
      <c r="J1027" s="20"/>
      <c r="Z1027" s="20"/>
    </row>
    <row r="1028">
      <c r="A1028" s="20"/>
      <c r="B1028" s="20"/>
      <c r="C1028" s="20"/>
      <c r="D1028" s="20"/>
      <c r="E1028" s="20"/>
      <c r="F1028" s="20"/>
      <c r="G1028" s="20"/>
      <c r="H1028" s="20"/>
      <c r="I1028" s="20"/>
      <c r="J1028" s="20"/>
      <c r="Z1028"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5.75"/>
    <col customWidth="1" min="3" max="3" width="46.63"/>
    <col customWidth="1" min="4" max="6" width="35.75"/>
  </cols>
  <sheetData>
    <row r="1">
      <c r="A1" s="50" t="s">
        <v>540</v>
      </c>
      <c r="B1" s="51" t="s">
        <v>541</v>
      </c>
      <c r="C1" s="50" t="s">
        <v>542</v>
      </c>
      <c r="D1" s="50" t="s">
        <v>541</v>
      </c>
      <c r="E1" s="50" t="s">
        <v>543</v>
      </c>
      <c r="F1" s="50" t="s">
        <v>544</v>
      </c>
      <c r="G1" s="52"/>
      <c r="H1" s="52"/>
      <c r="I1" s="52"/>
      <c r="J1" s="52"/>
      <c r="K1" s="52"/>
      <c r="L1" s="52"/>
      <c r="M1" s="52"/>
      <c r="N1" s="52"/>
      <c r="O1" s="52"/>
      <c r="P1" s="52"/>
      <c r="Q1" s="52"/>
      <c r="R1" s="52"/>
      <c r="S1" s="52"/>
      <c r="T1" s="52"/>
      <c r="U1" s="52"/>
      <c r="V1" s="52"/>
      <c r="W1" s="52"/>
      <c r="X1" s="52"/>
      <c r="Y1" s="52"/>
      <c r="Z1" s="52"/>
    </row>
    <row r="2">
      <c r="A2" s="53" t="s">
        <v>545</v>
      </c>
      <c r="B2" s="54" t="s">
        <v>546</v>
      </c>
      <c r="C2" s="55" t="s">
        <v>547</v>
      </c>
      <c r="D2" s="55" t="s">
        <v>548</v>
      </c>
      <c r="E2" s="56"/>
      <c r="F2" s="56"/>
    </row>
    <row r="3">
      <c r="A3" s="24" t="s">
        <v>549</v>
      </c>
      <c r="B3" s="54" t="s">
        <v>550</v>
      </c>
      <c r="C3" s="55" t="s">
        <v>551</v>
      </c>
      <c r="D3" s="55" t="s">
        <v>552</v>
      </c>
      <c r="E3" s="56"/>
      <c r="F3" s="56"/>
    </row>
    <row r="4">
      <c r="A4" s="55" t="s">
        <v>553</v>
      </c>
      <c r="B4" s="54" t="s">
        <v>554</v>
      </c>
      <c r="C4" s="55" t="s">
        <v>555</v>
      </c>
      <c r="D4" s="55" t="s">
        <v>556</v>
      </c>
      <c r="E4" s="56"/>
      <c r="F4" s="56"/>
    </row>
    <row r="5">
      <c r="A5" s="55" t="s">
        <v>557</v>
      </c>
      <c r="B5" s="54" t="s">
        <v>558</v>
      </c>
      <c r="C5" s="55" t="s">
        <v>559</v>
      </c>
      <c r="D5" s="55" t="s">
        <v>560</v>
      </c>
      <c r="E5" s="56"/>
      <c r="F5" s="56"/>
    </row>
    <row r="6">
      <c r="A6" s="55" t="s">
        <v>561</v>
      </c>
      <c r="B6" s="54" t="s">
        <v>562</v>
      </c>
      <c r="C6" s="55" t="s">
        <v>563</v>
      </c>
      <c r="D6" s="56"/>
      <c r="E6" s="56"/>
      <c r="F6" s="56"/>
    </row>
    <row r="7">
      <c r="A7" s="55" t="s">
        <v>564</v>
      </c>
      <c r="B7" s="54" t="s">
        <v>565</v>
      </c>
      <c r="C7" s="56"/>
      <c r="D7" s="56"/>
      <c r="E7" s="56"/>
      <c r="F7" s="56"/>
    </row>
    <row r="8">
      <c r="A8" s="55" t="s">
        <v>566</v>
      </c>
      <c r="B8" s="54" t="s">
        <v>567</v>
      </c>
      <c r="C8" s="56"/>
      <c r="D8" s="56"/>
      <c r="E8" s="56"/>
      <c r="F8" s="56"/>
    </row>
    <row r="9">
      <c r="A9" s="56"/>
      <c r="B9" s="57"/>
      <c r="C9" s="56"/>
      <c r="D9" s="56"/>
      <c r="E9" s="56"/>
      <c r="F9" s="56"/>
    </row>
    <row r="10">
      <c r="A10" s="56"/>
      <c r="B10" s="57"/>
      <c r="C10" s="56"/>
      <c r="D10" s="56"/>
      <c r="E10" s="56"/>
      <c r="F10" s="56"/>
    </row>
    <row r="11">
      <c r="A11" s="56"/>
      <c r="B11" s="57"/>
      <c r="C11" s="56"/>
      <c r="D11" s="56"/>
      <c r="E11" s="56"/>
      <c r="F11" s="56"/>
    </row>
    <row r="12">
      <c r="A12" s="56"/>
      <c r="B12" s="57"/>
      <c r="C12" s="56"/>
      <c r="D12" s="56"/>
      <c r="E12" s="56"/>
      <c r="F12" s="56"/>
    </row>
    <row r="13">
      <c r="A13" s="56"/>
      <c r="B13" s="57"/>
      <c r="C13" s="56"/>
      <c r="D13" s="56"/>
      <c r="E13" s="56"/>
      <c r="F13" s="56"/>
    </row>
    <row r="14">
      <c r="A14" s="56"/>
      <c r="B14" s="57"/>
      <c r="C14" s="56"/>
      <c r="D14" s="56"/>
      <c r="E14" s="56"/>
      <c r="F14" s="56"/>
    </row>
    <row r="15">
      <c r="A15" s="56"/>
      <c r="B15" s="57"/>
      <c r="C15" s="56"/>
      <c r="D15" s="56"/>
      <c r="E15" s="56"/>
      <c r="F15" s="56"/>
    </row>
    <row r="16">
      <c r="A16" s="56"/>
      <c r="B16" s="57"/>
      <c r="C16" s="56"/>
      <c r="D16" s="56"/>
      <c r="E16" s="56"/>
      <c r="F16" s="56"/>
    </row>
    <row r="17">
      <c r="A17" s="56"/>
      <c r="B17" s="57"/>
      <c r="C17" s="56"/>
      <c r="D17" s="56"/>
      <c r="E17" s="56"/>
      <c r="F17" s="56"/>
    </row>
    <row r="18">
      <c r="A18" s="56"/>
      <c r="B18" s="57"/>
      <c r="C18" s="56"/>
      <c r="D18" s="56"/>
      <c r="E18" s="56"/>
      <c r="F18" s="56"/>
    </row>
    <row r="19">
      <c r="A19" s="56"/>
      <c r="B19" s="57"/>
      <c r="C19" s="56"/>
      <c r="D19" s="56"/>
      <c r="E19" s="56"/>
      <c r="F19" s="56"/>
    </row>
    <row r="20">
      <c r="A20" s="56"/>
      <c r="B20" s="57"/>
      <c r="C20" s="56"/>
      <c r="D20" s="56"/>
      <c r="E20" s="56"/>
      <c r="F20" s="56"/>
    </row>
    <row r="21">
      <c r="A21" s="56"/>
      <c r="B21" s="57"/>
      <c r="C21" s="56"/>
      <c r="D21" s="56"/>
      <c r="E21" s="56"/>
      <c r="F21" s="56"/>
    </row>
    <row r="22">
      <c r="A22" s="56"/>
      <c r="B22" s="57"/>
      <c r="C22" s="56"/>
      <c r="D22" s="56"/>
      <c r="E22" s="56"/>
      <c r="F22" s="56"/>
    </row>
    <row r="23">
      <c r="A23" s="56"/>
      <c r="B23" s="57"/>
      <c r="C23" s="56"/>
      <c r="D23" s="56"/>
      <c r="E23" s="56"/>
      <c r="F23" s="56"/>
    </row>
    <row r="24">
      <c r="A24" s="56"/>
      <c r="B24" s="57"/>
      <c r="C24" s="56"/>
      <c r="D24" s="56"/>
      <c r="E24" s="56"/>
      <c r="F24" s="56"/>
    </row>
    <row r="25">
      <c r="A25" s="56"/>
      <c r="B25" s="57"/>
      <c r="C25" s="56"/>
      <c r="D25" s="56"/>
      <c r="E25" s="56"/>
      <c r="F25" s="56"/>
    </row>
    <row r="26">
      <c r="A26" s="56"/>
      <c r="B26" s="57"/>
      <c r="C26" s="56"/>
      <c r="D26" s="56"/>
      <c r="E26" s="56"/>
      <c r="F26" s="56"/>
    </row>
    <row r="27">
      <c r="A27" s="56"/>
      <c r="B27" s="57"/>
      <c r="C27" s="56"/>
      <c r="D27" s="56"/>
      <c r="E27" s="56"/>
      <c r="F27" s="56"/>
    </row>
    <row r="28">
      <c r="A28" s="56"/>
      <c r="B28" s="57"/>
      <c r="C28" s="56"/>
      <c r="D28" s="56"/>
      <c r="E28" s="56"/>
      <c r="F28" s="56"/>
    </row>
    <row r="29">
      <c r="A29" s="56"/>
      <c r="B29" s="57"/>
      <c r="C29" s="56"/>
      <c r="D29" s="56"/>
      <c r="E29" s="56"/>
      <c r="F29" s="56"/>
    </row>
    <row r="30">
      <c r="A30" s="56"/>
      <c r="B30" s="57"/>
      <c r="C30" s="56"/>
      <c r="D30" s="56"/>
      <c r="E30" s="56"/>
      <c r="F30" s="56"/>
    </row>
    <row r="31">
      <c r="A31" s="56"/>
      <c r="B31" s="57"/>
      <c r="C31" s="56"/>
      <c r="D31" s="56"/>
      <c r="E31" s="56"/>
      <c r="F31" s="56"/>
    </row>
    <row r="32">
      <c r="A32" s="56"/>
      <c r="B32" s="57"/>
      <c r="C32" s="56"/>
      <c r="D32" s="56"/>
      <c r="E32" s="56"/>
      <c r="F32" s="56"/>
    </row>
    <row r="33">
      <c r="A33" s="56"/>
      <c r="B33" s="57"/>
      <c r="C33" s="56"/>
      <c r="D33" s="56"/>
      <c r="E33" s="56"/>
      <c r="F33" s="56"/>
    </row>
    <row r="34">
      <c r="A34" s="56"/>
      <c r="B34" s="57"/>
      <c r="C34" s="56"/>
      <c r="D34" s="56"/>
      <c r="E34" s="56"/>
      <c r="F34" s="56"/>
    </row>
    <row r="35">
      <c r="A35" s="56"/>
      <c r="B35" s="57"/>
      <c r="C35" s="56"/>
      <c r="D35" s="56"/>
      <c r="E35" s="56"/>
      <c r="F35" s="56"/>
    </row>
    <row r="36">
      <c r="A36" s="56"/>
      <c r="B36" s="57"/>
      <c r="C36" s="56"/>
      <c r="D36" s="56"/>
      <c r="E36" s="56"/>
      <c r="F36" s="56"/>
    </row>
    <row r="37">
      <c r="A37" s="56"/>
      <c r="B37" s="57"/>
      <c r="C37" s="56"/>
      <c r="D37" s="56"/>
      <c r="E37" s="56"/>
      <c r="F37" s="56"/>
    </row>
    <row r="38">
      <c r="A38" s="56"/>
      <c r="B38" s="57"/>
      <c r="C38" s="56"/>
      <c r="D38" s="56"/>
      <c r="E38" s="56"/>
      <c r="F38" s="56"/>
    </row>
    <row r="39">
      <c r="A39" s="56"/>
      <c r="B39" s="57"/>
      <c r="C39" s="56"/>
      <c r="D39" s="56"/>
      <c r="E39" s="56"/>
      <c r="F39" s="56"/>
    </row>
    <row r="40">
      <c r="A40" s="56"/>
      <c r="B40" s="57"/>
      <c r="C40" s="56"/>
      <c r="D40" s="56"/>
      <c r="E40" s="56"/>
      <c r="F40" s="56"/>
    </row>
    <row r="41">
      <c r="A41" s="56"/>
      <c r="B41" s="57"/>
      <c r="C41" s="56"/>
      <c r="D41" s="56"/>
      <c r="E41" s="56"/>
      <c r="F41" s="56"/>
    </row>
    <row r="42">
      <c r="A42" s="56"/>
      <c r="B42" s="57"/>
      <c r="C42" s="56"/>
      <c r="D42" s="56"/>
      <c r="E42" s="56"/>
      <c r="F42" s="56"/>
    </row>
    <row r="43">
      <c r="A43" s="56"/>
      <c r="B43" s="57"/>
      <c r="C43" s="56"/>
      <c r="D43" s="56"/>
      <c r="E43" s="56"/>
      <c r="F43" s="56"/>
    </row>
    <row r="44">
      <c r="A44" s="56"/>
      <c r="B44" s="57"/>
      <c r="C44" s="56"/>
      <c r="D44" s="56"/>
      <c r="E44" s="56"/>
      <c r="F44" s="56"/>
    </row>
    <row r="45">
      <c r="A45" s="56"/>
      <c r="B45" s="57"/>
      <c r="C45" s="56"/>
      <c r="D45" s="56"/>
      <c r="E45" s="56"/>
      <c r="F45" s="56"/>
    </row>
    <row r="46">
      <c r="A46" s="56"/>
      <c r="B46" s="57"/>
      <c r="C46" s="56"/>
      <c r="D46" s="56"/>
      <c r="E46" s="56"/>
      <c r="F46" s="56"/>
    </row>
    <row r="47">
      <c r="A47" s="56"/>
      <c r="B47" s="57"/>
      <c r="C47" s="56"/>
      <c r="D47" s="56"/>
      <c r="E47" s="56"/>
      <c r="F47" s="56"/>
    </row>
    <row r="48">
      <c r="A48" s="56"/>
      <c r="B48" s="57"/>
      <c r="C48" s="56"/>
      <c r="D48" s="56"/>
      <c r="E48" s="56"/>
      <c r="F48" s="56"/>
    </row>
    <row r="49">
      <c r="A49" s="56"/>
      <c r="B49" s="57"/>
      <c r="C49" s="56"/>
      <c r="D49" s="56"/>
      <c r="E49" s="56"/>
      <c r="F49" s="56"/>
    </row>
    <row r="50">
      <c r="A50" s="56"/>
      <c r="B50" s="57"/>
      <c r="C50" s="56"/>
      <c r="D50" s="56"/>
      <c r="E50" s="56"/>
      <c r="F50" s="56"/>
    </row>
    <row r="51">
      <c r="A51" s="56"/>
      <c r="B51" s="57"/>
      <c r="C51" s="56"/>
      <c r="D51" s="56"/>
      <c r="E51" s="56"/>
      <c r="F51" s="56"/>
    </row>
    <row r="52">
      <c r="A52" s="56"/>
      <c r="B52" s="57"/>
      <c r="C52" s="56"/>
      <c r="D52" s="56"/>
      <c r="E52" s="56"/>
      <c r="F52" s="56"/>
    </row>
    <row r="53">
      <c r="A53" s="56"/>
      <c r="B53" s="57"/>
      <c r="C53" s="56"/>
      <c r="D53" s="56"/>
      <c r="E53" s="56"/>
      <c r="F53" s="56"/>
    </row>
    <row r="54">
      <c r="A54" s="56"/>
      <c r="B54" s="57"/>
      <c r="C54" s="56"/>
      <c r="D54" s="56"/>
      <c r="E54" s="56"/>
      <c r="F54" s="56"/>
    </row>
    <row r="55">
      <c r="A55" s="56"/>
      <c r="B55" s="57"/>
      <c r="C55" s="56"/>
      <c r="D55" s="56"/>
      <c r="E55" s="56"/>
      <c r="F55" s="56"/>
    </row>
    <row r="56">
      <c r="A56" s="56"/>
      <c r="B56" s="57"/>
      <c r="C56" s="56"/>
      <c r="D56" s="56"/>
      <c r="E56" s="56"/>
      <c r="F56" s="56"/>
    </row>
    <row r="57">
      <c r="A57" s="56"/>
      <c r="B57" s="57"/>
      <c r="C57" s="56"/>
      <c r="D57" s="56"/>
      <c r="E57" s="56"/>
      <c r="F57" s="56"/>
    </row>
    <row r="58">
      <c r="A58" s="56"/>
      <c r="B58" s="57"/>
      <c r="C58" s="56"/>
      <c r="D58" s="56"/>
      <c r="E58" s="56"/>
      <c r="F58" s="56"/>
    </row>
    <row r="59">
      <c r="A59" s="56"/>
      <c r="B59" s="57"/>
      <c r="C59" s="56"/>
      <c r="D59" s="56"/>
      <c r="E59" s="56"/>
      <c r="F59" s="56"/>
    </row>
    <row r="60">
      <c r="A60" s="56"/>
      <c r="B60" s="57"/>
      <c r="C60" s="56"/>
      <c r="D60" s="56"/>
      <c r="E60" s="56"/>
      <c r="F60" s="56"/>
    </row>
    <row r="61">
      <c r="A61" s="56"/>
      <c r="B61" s="57"/>
      <c r="C61" s="56"/>
      <c r="D61" s="56"/>
      <c r="E61" s="56"/>
      <c r="F61" s="56"/>
    </row>
    <row r="62">
      <c r="A62" s="56"/>
      <c r="B62" s="57"/>
      <c r="C62" s="56"/>
      <c r="D62" s="56"/>
      <c r="E62" s="56"/>
      <c r="F62" s="56"/>
    </row>
    <row r="63">
      <c r="A63" s="56"/>
      <c r="B63" s="57"/>
      <c r="C63" s="56"/>
      <c r="D63" s="56"/>
      <c r="E63" s="56"/>
      <c r="F63" s="56"/>
    </row>
    <row r="64">
      <c r="A64" s="56"/>
      <c r="B64" s="57"/>
      <c r="C64" s="56"/>
      <c r="D64" s="56"/>
      <c r="E64" s="56"/>
      <c r="F64" s="56"/>
    </row>
    <row r="65">
      <c r="A65" s="56"/>
      <c r="B65" s="57"/>
      <c r="C65" s="56"/>
      <c r="D65" s="56"/>
      <c r="E65" s="56"/>
      <c r="F65" s="56"/>
    </row>
    <row r="66">
      <c r="A66" s="56"/>
      <c r="B66" s="57"/>
      <c r="C66" s="56"/>
      <c r="D66" s="56"/>
      <c r="E66" s="56"/>
      <c r="F66" s="56"/>
    </row>
    <row r="67">
      <c r="A67" s="56"/>
      <c r="B67" s="57"/>
      <c r="C67" s="56"/>
      <c r="D67" s="56"/>
      <c r="E67" s="56"/>
      <c r="F67" s="56"/>
    </row>
    <row r="68">
      <c r="A68" s="56"/>
      <c r="B68" s="57"/>
      <c r="C68" s="56"/>
      <c r="D68" s="56"/>
      <c r="E68" s="56"/>
      <c r="F68" s="56"/>
    </row>
    <row r="69">
      <c r="A69" s="56"/>
      <c r="B69" s="57"/>
      <c r="C69" s="56"/>
      <c r="D69" s="56"/>
      <c r="E69" s="56"/>
      <c r="F69" s="56"/>
    </row>
    <row r="70">
      <c r="A70" s="56"/>
      <c r="B70" s="57"/>
      <c r="C70" s="56"/>
      <c r="D70" s="56"/>
      <c r="E70" s="56"/>
      <c r="F70" s="56"/>
    </row>
    <row r="71">
      <c r="A71" s="56"/>
      <c r="B71" s="57"/>
      <c r="C71" s="56"/>
      <c r="D71" s="56"/>
      <c r="E71" s="56"/>
      <c r="F71" s="56"/>
    </row>
    <row r="72">
      <c r="A72" s="56"/>
      <c r="B72" s="57"/>
      <c r="C72" s="56"/>
      <c r="D72" s="56"/>
      <c r="E72" s="56"/>
      <c r="F72" s="56"/>
    </row>
    <row r="73">
      <c r="A73" s="56"/>
      <c r="B73" s="57"/>
      <c r="C73" s="56"/>
      <c r="D73" s="56"/>
      <c r="E73" s="56"/>
      <c r="F73" s="56"/>
    </row>
    <row r="74">
      <c r="A74" s="56"/>
      <c r="B74" s="57"/>
      <c r="C74" s="56"/>
      <c r="D74" s="56"/>
      <c r="E74" s="56"/>
      <c r="F74" s="56"/>
    </row>
    <row r="75">
      <c r="A75" s="56"/>
      <c r="B75" s="57"/>
      <c r="C75" s="56"/>
      <c r="D75" s="56"/>
      <c r="E75" s="56"/>
      <c r="F75" s="56"/>
    </row>
    <row r="76">
      <c r="A76" s="56"/>
      <c r="B76" s="57"/>
      <c r="C76" s="56"/>
      <c r="D76" s="56"/>
      <c r="E76" s="56"/>
      <c r="F76" s="56"/>
    </row>
    <row r="77">
      <c r="A77" s="56"/>
      <c r="B77" s="57"/>
      <c r="C77" s="56"/>
      <c r="D77" s="56"/>
      <c r="E77" s="56"/>
      <c r="F77" s="56"/>
    </row>
    <row r="78">
      <c r="A78" s="56"/>
      <c r="B78" s="57"/>
      <c r="C78" s="56"/>
      <c r="D78" s="56"/>
      <c r="E78" s="56"/>
      <c r="F78" s="56"/>
    </row>
    <row r="79">
      <c r="A79" s="56"/>
      <c r="B79" s="57"/>
      <c r="C79" s="56"/>
      <c r="D79" s="56"/>
      <c r="E79" s="56"/>
      <c r="F79" s="56"/>
    </row>
    <row r="80">
      <c r="A80" s="56"/>
      <c r="B80" s="57"/>
      <c r="C80" s="56"/>
      <c r="D80" s="56"/>
      <c r="E80" s="56"/>
      <c r="F80" s="56"/>
    </row>
    <row r="81">
      <c r="A81" s="56"/>
      <c r="B81" s="57"/>
      <c r="C81" s="56"/>
      <c r="D81" s="56"/>
      <c r="E81" s="56"/>
      <c r="F81" s="56"/>
    </row>
    <row r="82">
      <c r="A82" s="56"/>
      <c r="B82" s="57"/>
      <c r="C82" s="56"/>
      <c r="D82" s="56"/>
      <c r="E82" s="56"/>
      <c r="F82" s="56"/>
    </row>
    <row r="83">
      <c r="A83" s="56"/>
      <c r="B83" s="57"/>
      <c r="C83" s="56"/>
      <c r="D83" s="56"/>
      <c r="E83" s="56"/>
      <c r="F83" s="56"/>
    </row>
    <row r="84">
      <c r="A84" s="56"/>
      <c r="B84" s="57"/>
      <c r="C84" s="56"/>
      <c r="D84" s="56"/>
      <c r="E84" s="56"/>
      <c r="F84" s="56"/>
    </row>
    <row r="85">
      <c r="A85" s="56"/>
      <c r="B85" s="57"/>
      <c r="C85" s="56"/>
      <c r="D85" s="56"/>
      <c r="E85" s="56"/>
      <c r="F85" s="56"/>
    </row>
    <row r="86">
      <c r="A86" s="56"/>
      <c r="B86" s="57"/>
      <c r="C86" s="56"/>
      <c r="D86" s="56"/>
      <c r="E86" s="56"/>
      <c r="F86" s="56"/>
    </row>
    <row r="87">
      <c r="A87" s="56"/>
      <c r="B87" s="57"/>
      <c r="C87" s="56"/>
      <c r="D87" s="56"/>
      <c r="E87" s="56"/>
      <c r="F87" s="56"/>
    </row>
    <row r="88">
      <c r="A88" s="56"/>
      <c r="B88" s="57"/>
      <c r="C88" s="56"/>
      <c r="D88" s="56"/>
      <c r="E88" s="56"/>
      <c r="F88" s="56"/>
    </row>
    <row r="89">
      <c r="A89" s="56"/>
      <c r="B89" s="57"/>
      <c r="C89" s="56"/>
      <c r="D89" s="56"/>
      <c r="E89" s="56"/>
      <c r="F89" s="56"/>
    </row>
    <row r="90">
      <c r="A90" s="56"/>
      <c r="B90" s="57"/>
      <c r="C90" s="56"/>
      <c r="D90" s="56"/>
      <c r="E90" s="56"/>
      <c r="F90" s="56"/>
    </row>
    <row r="91">
      <c r="A91" s="56"/>
      <c r="B91" s="57"/>
      <c r="C91" s="56"/>
      <c r="D91" s="56"/>
      <c r="E91" s="56"/>
      <c r="F91" s="56"/>
    </row>
    <row r="92">
      <c r="A92" s="56"/>
      <c r="B92" s="57"/>
      <c r="C92" s="56"/>
      <c r="D92" s="56"/>
      <c r="E92" s="56"/>
      <c r="F92" s="56"/>
    </row>
    <row r="93">
      <c r="A93" s="56"/>
      <c r="B93" s="57"/>
      <c r="C93" s="56"/>
      <c r="D93" s="56"/>
      <c r="E93" s="56"/>
      <c r="F93" s="56"/>
    </row>
    <row r="94">
      <c r="A94" s="56"/>
      <c r="B94" s="57"/>
      <c r="C94" s="56"/>
      <c r="D94" s="56"/>
      <c r="E94" s="56"/>
      <c r="F94" s="56"/>
    </row>
    <row r="95">
      <c r="A95" s="56"/>
      <c r="B95" s="57"/>
      <c r="C95" s="56"/>
      <c r="D95" s="56"/>
      <c r="E95" s="56"/>
      <c r="F95" s="56"/>
    </row>
    <row r="96">
      <c r="A96" s="56"/>
      <c r="B96" s="57"/>
      <c r="C96" s="56"/>
      <c r="D96" s="56"/>
      <c r="E96" s="56"/>
      <c r="F96" s="56"/>
    </row>
    <row r="97">
      <c r="A97" s="56"/>
      <c r="B97" s="57"/>
      <c r="C97" s="56"/>
      <c r="D97" s="56"/>
      <c r="E97" s="56"/>
      <c r="F97" s="56"/>
    </row>
    <row r="98">
      <c r="A98" s="56"/>
      <c r="B98" s="57"/>
      <c r="C98" s="56"/>
      <c r="D98" s="56"/>
      <c r="E98" s="56"/>
      <c r="F98" s="56"/>
    </row>
    <row r="99">
      <c r="A99" s="56"/>
      <c r="B99" s="57"/>
      <c r="C99" s="56"/>
      <c r="D99" s="56"/>
      <c r="E99" s="56"/>
      <c r="F99" s="56"/>
    </row>
    <row r="100">
      <c r="A100" s="56"/>
      <c r="B100" s="57"/>
      <c r="C100" s="56"/>
      <c r="D100" s="56"/>
      <c r="E100" s="56"/>
      <c r="F100" s="56"/>
    </row>
    <row r="101">
      <c r="A101" s="56"/>
      <c r="B101" s="57"/>
      <c r="C101" s="56"/>
      <c r="D101" s="56"/>
      <c r="E101" s="56"/>
      <c r="F101" s="56"/>
    </row>
    <row r="102">
      <c r="A102" s="56"/>
      <c r="B102" s="57"/>
      <c r="C102" s="56"/>
      <c r="D102" s="56"/>
      <c r="E102" s="56"/>
      <c r="F102" s="56"/>
    </row>
    <row r="103">
      <c r="A103" s="56"/>
      <c r="B103" s="57"/>
      <c r="C103" s="56"/>
      <c r="D103" s="56"/>
      <c r="E103" s="56"/>
      <c r="F103" s="56"/>
    </row>
    <row r="104">
      <c r="A104" s="56"/>
      <c r="B104" s="57"/>
      <c r="C104" s="56"/>
      <c r="D104" s="56"/>
      <c r="E104" s="56"/>
      <c r="F104" s="56"/>
    </row>
    <row r="105">
      <c r="A105" s="56"/>
      <c r="B105" s="57"/>
      <c r="C105" s="56"/>
      <c r="D105" s="56"/>
      <c r="E105" s="56"/>
      <c r="F105" s="56"/>
    </row>
    <row r="106">
      <c r="A106" s="56"/>
      <c r="B106" s="57"/>
      <c r="C106" s="56"/>
      <c r="D106" s="56"/>
      <c r="E106" s="56"/>
      <c r="F106" s="56"/>
    </row>
    <row r="107">
      <c r="A107" s="56"/>
      <c r="B107" s="57"/>
      <c r="C107" s="56"/>
      <c r="D107" s="56"/>
      <c r="E107" s="56"/>
      <c r="F107" s="56"/>
    </row>
    <row r="108">
      <c r="A108" s="56"/>
      <c r="B108" s="57"/>
      <c r="C108" s="56"/>
      <c r="D108" s="56"/>
      <c r="E108" s="56"/>
      <c r="F108" s="56"/>
    </row>
    <row r="109">
      <c r="A109" s="56"/>
      <c r="B109" s="57"/>
      <c r="C109" s="56"/>
      <c r="D109" s="56"/>
      <c r="E109" s="56"/>
      <c r="F109" s="56"/>
    </row>
    <row r="110">
      <c r="A110" s="56"/>
      <c r="B110" s="57"/>
      <c r="C110" s="56"/>
      <c r="D110" s="56"/>
      <c r="E110" s="56"/>
      <c r="F110" s="56"/>
    </row>
    <row r="111">
      <c r="A111" s="56"/>
      <c r="B111" s="57"/>
      <c r="C111" s="56"/>
      <c r="D111" s="56"/>
      <c r="E111" s="56"/>
      <c r="F111" s="56"/>
    </row>
    <row r="112">
      <c r="A112" s="56"/>
      <c r="B112" s="57"/>
      <c r="C112" s="56"/>
      <c r="D112" s="56"/>
      <c r="E112" s="56"/>
      <c r="F112" s="56"/>
    </row>
    <row r="113">
      <c r="A113" s="56"/>
      <c r="B113" s="57"/>
      <c r="C113" s="56"/>
      <c r="D113" s="56"/>
      <c r="E113" s="56"/>
      <c r="F113" s="56"/>
    </row>
    <row r="114">
      <c r="A114" s="56"/>
      <c r="B114" s="57"/>
      <c r="C114" s="56"/>
      <c r="D114" s="56"/>
      <c r="E114" s="56"/>
      <c r="F114" s="56"/>
    </row>
    <row r="115">
      <c r="A115" s="56"/>
      <c r="B115" s="57"/>
      <c r="C115" s="56"/>
      <c r="D115" s="56"/>
      <c r="E115" s="56"/>
      <c r="F115" s="56"/>
    </row>
    <row r="116">
      <c r="A116" s="56"/>
      <c r="B116" s="57"/>
      <c r="C116" s="56"/>
      <c r="D116" s="56"/>
      <c r="E116" s="56"/>
      <c r="F116" s="56"/>
    </row>
    <row r="117">
      <c r="A117" s="56"/>
      <c r="B117" s="57"/>
      <c r="C117" s="56"/>
      <c r="D117" s="56"/>
      <c r="E117" s="56"/>
      <c r="F117" s="56"/>
    </row>
    <row r="118">
      <c r="A118" s="56"/>
      <c r="B118" s="57"/>
      <c r="C118" s="56"/>
      <c r="D118" s="56"/>
      <c r="E118" s="56"/>
      <c r="F118" s="56"/>
    </row>
    <row r="119">
      <c r="A119" s="56"/>
      <c r="B119" s="57"/>
      <c r="C119" s="56"/>
      <c r="D119" s="56"/>
      <c r="E119" s="56"/>
      <c r="F119" s="56"/>
    </row>
    <row r="120">
      <c r="A120" s="56"/>
      <c r="B120" s="57"/>
      <c r="C120" s="56"/>
      <c r="D120" s="56"/>
      <c r="E120" s="56"/>
      <c r="F120" s="56"/>
    </row>
    <row r="121">
      <c r="A121" s="56"/>
      <c r="B121" s="57"/>
      <c r="C121" s="56"/>
      <c r="D121" s="56"/>
      <c r="E121" s="56"/>
      <c r="F121" s="56"/>
    </row>
    <row r="122">
      <c r="A122" s="56"/>
      <c r="B122" s="57"/>
      <c r="C122" s="56"/>
      <c r="D122" s="56"/>
      <c r="E122" s="56"/>
      <c r="F122" s="56"/>
    </row>
    <row r="123">
      <c r="A123" s="56"/>
      <c r="B123" s="57"/>
      <c r="C123" s="56"/>
      <c r="D123" s="56"/>
      <c r="E123" s="56"/>
      <c r="F123" s="56"/>
    </row>
    <row r="124">
      <c r="A124" s="56"/>
      <c r="B124" s="57"/>
      <c r="C124" s="56"/>
      <c r="D124" s="56"/>
      <c r="E124" s="56"/>
      <c r="F124" s="56"/>
    </row>
    <row r="125">
      <c r="A125" s="56"/>
      <c r="B125" s="57"/>
      <c r="C125" s="56"/>
      <c r="D125" s="56"/>
      <c r="E125" s="56"/>
      <c r="F125" s="56"/>
    </row>
    <row r="126">
      <c r="A126" s="56"/>
      <c r="B126" s="57"/>
      <c r="C126" s="56"/>
      <c r="D126" s="56"/>
      <c r="E126" s="56"/>
      <c r="F126" s="56"/>
    </row>
    <row r="127">
      <c r="A127" s="56"/>
      <c r="B127" s="57"/>
      <c r="C127" s="56"/>
      <c r="D127" s="56"/>
      <c r="E127" s="56"/>
      <c r="F127" s="56"/>
    </row>
    <row r="128">
      <c r="A128" s="56"/>
      <c r="B128" s="57"/>
      <c r="C128" s="56"/>
      <c r="D128" s="56"/>
      <c r="E128" s="56"/>
      <c r="F128" s="56"/>
    </row>
    <row r="129">
      <c r="A129" s="56"/>
      <c r="B129" s="57"/>
      <c r="C129" s="56"/>
      <c r="D129" s="56"/>
      <c r="E129" s="56"/>
      <c r="F129" s="56"/>
    </row>
    <row r="130">
      <c r="A130" s="56"/>
      <c r="B130" s="57"/>
      <c r="C130" s="56"/>
      <c r="D130" s="56"/>
      <c r="E130" s="56"/>
      <c r="F130" s="56"/>
    </row>
    <row r="131">
      <c r="A131" s="56"/>
      <c r="B131" s="57"/>
      <c r="C131" s="56"/>
      <c r="D131" s="56"/>
      <c r="E131" s="56"/>
      <c r="F131" s="56"/>
    </row>
    <row r="132">
      <c r="A132" s="56"/>
      <c r="B132" s="57"/>
      <c r="C132" s="56"/>
      <c r="D132" s="56"/>
      <c r="E132" s="56"/>
      <c r="F132" s="56"/>
    </row>
    <row r="133">
      <c r="A133" s="56"/>
      <c r="B133" s="57"/>
      <c r="C133" s="56"/>
      <c r="D133" s="56"/>
      <c r="E133" s="56"/>
      <c r="F133" s="56"/>
    </row>
    <row r="134">
      <c r="A134" s="56"/>
      <c r="B134" s="57"/>
      <c r="C134" s="56"/>
      <c r="D134" s="56"/>
      <c r="E134" s="56"/>
      <c r="F134" s="56"/>
    </row>
    <row r="135">
      <c r="A135" s="56"/>
      <c r="B135" s="57"/>
      <c r="C135" s="56"/>
      <c r="D135" s="56"/>
      <c r="E135" s="56"/>
      <c r="F135" s="56"/>
    </row>
    <row r="136">
      <c r="A136" s="56"/>
      <c r="B136" s="57"/>
      <c r="C136" s="56"/>
      <c r="D136" s="56"/>
      <c r="E136" s="56"/>
      <c r="F136" s="56"/>
    </row>
    <row r="137">
      <c r="A137" s="56"/>
      <c r="B137" s="57"/>
      <c r="C137" s="56"/>
      <c r="D137" s="56"/>
      <c r="E137" s="56"/>
      <c r="F137" s="56"/>
    </row>
    <row r="138">
      <c r="A138" s="56"/>
      <c r="B138" s="57"/>
      <c r="C138" s="56"/>
      <c r="D138" s="56"/>
      <c r="E138" s="56"/>
      <c r="F138" s="56"/>
    </row>
    <row r="139">
      <c r="A139" s="56"/>
      <c r="B139" s="57"/>
      <c r="C139" s="56"/>
      <c r="D139" s="56"/>
      <c r="E139" s="56"/>
      <c r="F139" s="56"/>
    </row>
    <row r="140">
      <c r="A140" s="56"/>
      <c r="B140" s="57"/>
      <c r="C140" s="56"/>
      <c r="D140" s="56"/>
      <c r="E140" s="56"/>
      <c r="F140" s="56"/>
    </row>
    <row r="141">
      <c r="A141" s="56"/>
      <c r="B141" s="57"/>
      <c r="C141" s="56"/>
      <c r="D141" s="56"/>
      <c r="E141" s="56"/>
      <c r="F141" s="56"/>
    </row>
    <row r="142">
      <c r="A142" s="56"/>
      <c r="B142" s="57"/>
      <c r="C142" s="56"/>
      <c r="D142" s="56"/>
      <c r="E142" s="56"/>
      <c r="F142" s="56"/>
    </row>
    <row r="143">
      <c r="A143" s="56"/>
      <c r="B143" s="57"/>
      <c r="C143" s="56"/>
      <c r="D143" s="56"/>
      <c r="E143" s="56"/>
      <c r="F143" s="56"/>
    </row>
    <row r="144">
      <c r="A144" s="56"/>
      <c r="B144" s="57"/>
      <c r="C144" s="56"/>
      <c r="D144" s="56"/>
      <c r="E144" s="56"/>
      <c r="F144" s="56"/>
    </row>
    <row r="145">
      <c r="A145" s="56"/>
      <c r="B145" s="57"/>
      <c r="C145" s="56"/>
      <c r="D145" s="56"/>
      <c r="E145" s="56"/>
      <c r="F145" s="56"/>
    </row>
    <row r="146">
      <c r="A146" s="56"/>
      <c r="B146" s="57"/>
      <c r="C146" s="56"/>
      <c r="D146" s="56"/>
      <c r="E146" s="56"/>
      <c r="F146" s="56"/>
    </row>
    <row r="147">
      <c r="A147" s="56"/>
      <c r="B147" s="57"/>
      <c r="C147" s="56"/>
      <c r="D147" s="56"/>
      <c r="E147" s="56"/>
      <c r="F147" s="56"/>
    </row>
    <row r="148">
      <c r="A148" s="56"/>
      <c r="B148" s="57"/>
      <c r="C148" s="56"/>
      <c r="D148" s="56"/>
      <c r="E148" s="56"/>
      <c r="F148" s="56"/>
    </row>
    <row r="149">
      <c r="A149" s="56"/>
      <c r="B149" s="57"/>
      <c r="C149" s="56"/>
      <c r="D149" s="56"/>
      <c r="E149" s="56"/>
      <c r="F149" s="56"/>
    </row>
    <row r="150">
      <c r="A150" s="56"/>
      <c r="B150" s="57"/>
      <c r="C150" s="56"/>
      <c r="D150" s="56"/>
      <c r="E150" s="56"/>
      <c r="F150" s="56"/>
    </row>
    <row r="151">
      <c r="A151" s="56"/>
      <c r="B151" s="57"/>
      <c r="C151" s="56"/>
      <c r="D151" s="56"/>
      <c r="E151" s="56"/>
      <c r="F151" s="56"/>
    </row>
    <row r="152">
      <c r="A152" s="56"/>
      <c r="B152" s="57"/>
      <c r="C152" s="56"/>
      <c r="D152" s="56"/>
      <c r="E152" s="56"/>
      <c r="F152" s="56"/>
    </row>
    <row r="153">
      <c r="A153" s="56"/>
      <c r="B153" s="57"/>
      <c r="C153" s="56"/>
      <c r="D153" s="56"/>
      <c r="E153" s="56"/>
      <c r="F153" s="56"/>
    </row>
    <row r="154">
      <c r="A154" s="56"/>
      <c r="B154" s="57"/>
      <c r="C154" s="56"/>
      <c r="D154" s="56"/>
      <c r="E154" s="56"/>
      <c r="F154" s="56"/>
    </row>
    <row r="155">
      <c r="A155" s="56"/>
      <c r="B155" s="57"/>
      <c r="C155" s="56"/>
      <c r="D155" s="56"/>
      <c r="E155" s="56"/>
      <c r="F155" s="56"/>
    </row>
    <row r="156">
      <c r="A156" s="56"/>
      <c r="B156" s="57"/>
      <c r="C156" s="56"/>
      <c r="D156" s="56"/>
      <c r="E156" s="56"/>
      <c r="F156" s="56"/>
    </row>
    <row r="157">
      <c r="A157" s="56"/>
      <c r="B157" s="57"/>
      <c r="C157" s="56"/>
      <c r="D157" s="56"/>
      <c r="E157" s="56"/>
      <c r="F157" s="56"/>
    </row>
    <row r="158">
      <c r="A158" s="56"/>
      <c r="B158" s="57"/>
      <c r="C158" s="56"/>
      <c r="D158" s="56"/>
      <c r="E158" s="56"/>
      <c r="F158" s="56"/>
    </row>
    <row r="159">
      <c r="A159" s="56"/>
      <c r="B159" s="57"/>
      <c r="C159" s="56"/>
      <c r="D159" s="56"/>
      <c r="E159" s="56"/>
      <c r="F159" s="56"/>
    </row>
    <row r="160">
      <c r="A160" s="56"/>
      <c r="B160" s="57"/>
      <c r="C160" s="56"/>
      <c r="D160" s="56"/>
      <c r="E160" s="56"/>
      <c r="F160" s="56"/>
    </row>
    <row r="161">
      <c r="A161" s="56"/>
      <c r="B161" s="57"/>
      <c r="C161" s="56"/>
      <c r="D161" s="56"/>
      <c r="E161" s="56"/>
      <c r="F161" s="56"/>
    </row>
    <row r="162">
      <c r="A162" s="56"/>
      <c r="B162" s="57"/>
      <c r="C162" s="56"/>
      <c r="D162" s="56"/>
      <c r="E162" s="56"/>
      <c r="F162" s="56"/>
    </row>
    <row r="163">
      <c r="A163" s="56"/>
      <c r="B163" s="57"/>
      <c r="C163" s="56"/>
      <c r="D163" s="56"/>
      <c r="E163" s="56"/>
      <c r="F163" s="56"/>
    </row>
    <row r="164">
      <c r="A164" s="56"/>
      <c r="B164" s="57"/>
      <c r="C164" s="56"/>
      <c r="D164" s="56"/>
      <c r="E164" s="56"/>
      <c r="F164" s="56"/>
    </row>
    <row r="165">
      <c r="A165" s="56"/>
      <c r="B165" s="57"/>
      <c r="C165" s="56"/>
      <c r="D165" s="56"/>
      <c r="E165" s="56"/>
      <c r="F165" s="56"/>
    </row>
    <row r="166">
      <c r="A166" s="56"/>
      <c r="B166" s="57"/>
      <c r="C166" s="56"/>
      <c r="D166" s="56"/>
      <c r="E166" s="56"/>
      <c r="F166" s="56"/>
    </row>
    <row r="167">
      <c r="A167" s="56"/>
      <c r="B167" s="57"/>
      <c r="C167" s="56"/>
      <c r="D167" s="56"/>
      <c r="E167" s="56"/>
      <c r="F167" s="56"/>
    </row>
    <row r="168">
      <c r="A168" s="56"/>
      <c r="B168" s="57"/>
      <c r="C168" s="56"/>
      <c r="D168" s="56"/>
      <c r="E168" s="56"/>
      <c r="F168" s="56"/>
    </row>
    <row r="169">
      <c r="A169" s="56"/>
      <c r="B169" s="57"/>
      <c r="C169" s="56"/>
      <c r="D169" s="56"/>
      <c r="E169" s="56"/>
      <c r="F169" s="56"/>
    </row>
    <row r="170">
      <c r="A170" s="56"/>
      <c r="B170" s="57"/>
      <c r="C170" s="56"/>
      <c r="D170" s="56"/>
      <c r="E170" s="56"/>
      <c r="F170" s="56"/>
    </row>
    <row r="171">
      <c r="A171" s="56"/>
      <c r="B171" s="57"/>
      <c r="C171" s="56"/>
      <c r="D171" s="56"/>
      <c r="E171" s="56"/>
      <c r="F171" s="56"/>
    </row>
    <row r="172">
      <c r="A172" s="56"/>
      <c r="B172" s="57"/>
      <c r="C172" s="56"/>
      <c r="D172" s="56"/>
      <c r="E172" s="56"/>
      <c r="F172" s="56"/>
    </row>
    <row r="173">
      <c r="A173" s="56"/>
      <c r="B173" s="57"/>
      <c r="C173" s="56"/>
      <c r="D173" s="56"/>
      <c r="E173" s="56"/>
      <c r="F173" s="56"/>
    </row>
    <row r="174">
      <c r="A174" s="56"/>
      <c r="B174" s="57"/>
      <c r="C174" s="56"/>
      <c r="D174" s="56"/>
      <c r="E174" s="56"/>
      <c r="F174" s="56"/>
    </row>
    <row r="175">
      <c r="A175" s="56"/>
      <c r="B175" s="57"/>
      <c r="C175" s="56"/>
      <c r="D175" s="56"/>
      <c r="E175" s="56"/>
      <c r="F175" s="56"/>
    </row>
    <row r="176">
      <c r="A176" s="56"/>
      <c r="B176" s="57"/>
      <c r="C176" s="56"/>
      <c r="D176" s="56"/>
      <c r="E176" s="56"/>
      <c r="F176" s="56"/>
    </row>
    <row r="177">
      <c r="A177" s="56"/>
      <c r="B177" s="57"/>
      <c r="C177" s="56"/>
      <c r="D177" s="56"/>
      <c r="E177" s="56"/>
      <c r="F177" s="56"/>
    </row>
    <row r="178">
      <c r="A178" s="56"/>
      <c r="B178" s="57"/>
      <c r="C178" s="56"/>
      <c r="D178" s="56"/>
      <c r="E178" s="56"/>
      <c r="F178" s="56"/>
    </row>
    <row r="179">
      <c r="A179" s="56"/>
      <c r="B179" s="57"/>
      <c r="C179" s="56"/>
      <c r="D179" s="56"/>
      <c r="E179" s="56"/>
      <c r="F179" s="56"/>
    </row>
    <row r="180">
      <c r="A180" s="56"/>
      <c r="B180" s="57"/>
      <c r="C180" s="56"/>
      <c r="D180" s="56"/>
      <c r="E180" s="56"/>
      <c r="F180" s="56"/>
    </row>
    <row r="181">
      <c r="A181" s="56"/>
      <c r="B181" s="57"/>
      <c r="C181" s="56"/>
      <c r="D181" s="56"/>
      <c r="E181" s="56"/>
      <c r="F181" s="56"/>
    </row>
    <row r="182">
      <c r="A182" s="56"/>
      <c r="B182" s="57"/>
      <c r="C182" s="56"/>
      <c r="D182" s="56"/>
      <c r="E182" s="56"/>
      <c r="F182" s="56"/>
    </row>
    <row r="183">
      <c r="A183" s="56"/>
      <c r="B183" s="57"/>
      <c r="C183" s="56"/>
      <c r="D183" s="56"/>
      <c r="E183" s="56"/>
      <c r="F183" s="56"/>
    </row>
    <row r="184">
      <c r="A184" s="56"/>
      <c r="B184" s="57"/>
      <c r="C184" s="56"/>
      <c r="D184" s="56"/>
      <c r="E184" s="56"/>
      <c r="F184" s="56"/>
    </row>
    <row r="185">
      <c r="A185" s="56"/>
      <c r="B185" s="57"/>
      <c r="C185" s="56"/>
      <c r="D185" s="56"/>
      <c r="E185" s="56"/>
      <c r="F185" s="56"/>
    </row>
    <row r="186">
      <c r="A186" s="56"/>
      <c r="B186" s="57"/>
      <c r="C186" s="56"/>
      <c r="D186" s="56"/>
      <c r="E186" s="56"/>
      <c r="F186" s="56"/>
    </row>
    <row r="187">
      <c r="A187" s="56"/>
      <c r="B187" s="57"/>
      <c r="C187" s="56"/>
      <c r="D187" s="56"/>
      <c r="E187" s="56"/>
      <c r="F187" s="56"/>
    </row>
    <row r="188">
      <c r="A188" s="56"/>
      <c r="B188" s="57"/>
      <c r="C188" s="56"/>
      <c r="D188" s="56"/>
      <c r="E188" s="56"/>
      <c r="F188" s="56"/>
    </row>
    <row r="189">
      <c r="A189" s="56"/>
      <c r="B189" s="57"/>
      <c r="C189" s="56"/>
      <c r="D189" s="56"/>
      <c r="E189" s="56"/>
      <c r="F189" s="56"/>
    </row>
    <row r="190">
      <c r="A190" s="56"/>
      <c r="B190" s="57"/>
      <c r="C190" s="56"/>
      <c r="D190" s="56"/>
      <c r="E190" s="56"/>
      <c r="F190" s="56"/>
    </row>
    <row r="191">
      <c r="A191" s="56"/>
      <c r="B191" s="57"/>
      <c r="C191" s="56"/>
      <c r="D191" s="56"/>
      <c r="E191" s="56"/>
      <c r="F191" s="56"/>
    </row>
    <row r="192">
      <c r="A192" s="56"/>
      <c r="B192" s="57"/>
      <c r="C192" s="56"/>
      <c r="D192" s="56"/>
      <c r="E192" s="56"/>
      <c r="F192" s="56"/>
    </row>
    <row r="193">
      <c r="A193" s="56"/>
      <c r="B193" s="57"/>
      <c r="C193" s="56"/>
      <c r="D193" s="56"/>
      <c r="E193" s="56"/>
      <c r="F193" s="56"/>
    </row>
    <row r="194">
      <c r="A194" s="56"/>
      <c r="B194" s="57"/>
      <c r="C194" s="56"/>
      <c r="D194" s="56"/>
      <c r="E194" s="56"/>
      <c r="F194" s="56"/>
    </row>
    <row r="195">
      <c r="A195" s="56"/>
      <c r="B195" s="57"/>
      <c r="C195" s="56"/>
      <c r="D195" s="56"/>
      <c r="E195" s="56"/>
      <c r="F195" s="56"/>
    </row>
    <row r="196">
      <c r="A196" s="56"/>
      <c r="B196" s="57"/>
      <c r="C196" s="56"/>
      <c r="D196" s="56"/>
      <c r="E196" s="56"/>
      <c r="F196" s="56"/>
    </row>
    <row r="197">
      <c r="A197" s="56"/>
      <c r="B197" s="57"/>
      <c r="C197" s="56"/>
      <c r="D197" s="56"/>
      <c r="E197" s="56"/>
      <c r="F197" s="56"/>
    </row>
    <row r="198">
      <c r="A198" s="56"/>
      <c r="B198" s="57"/>
      <c r="C198" s="56"/>
      <c r="D198" s="56"/>
      <c r="E198" s="56"/>
      <c r="F198" s="56"/>
    </row>
    <row r="199">
      <c r="A199" s="56"/>
      <c r="B199" s="57"/>
      <c r="C199" s="56"/>
      <c r="D199" s="56"/>
      <c r="E199" s="56"/>
      <c r="F199" s="56"/>
    </row>
    <row r="200">
      <c r="A200" s="56"/>
      <c r="B200" s="57"/>
      <c r="C200" s="56"/>
      <c r="D200" s="56"/>
      <c r="E200" s="56"/>
      <c r="F200" s="56"/>
    </row>
    <row r="201">
      <c r="A201" s="56"/>
      <c r="B201" s="57"/>
      <c r="C201" s="56"/>
      <c r="D201" s="56"/>
      <c r="E201" s="56"/>
      <c r="F201" s="56"/>
    </row>
    <row r="202">
      <c r="A202" s="56"/>
      <c r="B202" s="57"/>
      <c r="C202" s="56"/>
      <c r="D202" s="56"/>
      <c r="E202" s="56"/>
      <c r="F202" s="56"/>
    </row>
    <row r="203">
      <c r="A203" s="56"/>
      <c r="B203" s="57"/>
      <c r="C203" s="56"/>
      <c r="D203" s="56"/>
      <c r="E203" s="56"/>
      <c r="F203" s="56"/>
    </row>
    <row r="204">
      <c r="A204" s="56"/>
      <c r="B204" s="57"/>
      <c r="C204" s="56"/>
      <c r="D204" s="56"/>
      <c r="E204" s="56"/>
      <c r="F204" s="56"/>
    </row>
    <row r="205">
      <c r="A205" s="56"/>
      <c r="B205" s="57"/>
      <c r="C205" s="56"/>
      <c r="D205" s="56"/>
      <c r="E205" s="56"/>
      <c r="F205" s="56"/>
    </row>
    <row r="206">
      <c r="A206" s="56"/>
      <c r="B206" s="57"/>
      <c r="C206" s="56"/>
      <c r="D206" s="56"/>
      <c r="E206" s="56"/>
      <c r="F206" s="56"/>
    </row>
    <row r="207">
      <c r="A207" s="56"/>
      <c r="B207" s="57"/>
      <c r="C207" s="56"/>
      <c r="D207" s="56"/>
      <c r="E207" s="56"/>
      <c r="F207" s="56"/>
    </row>
    <row r="208">
      <c r="A208" s="56"/>
      <c r="B208" s="57"/>
      <c r="C208" s="56"/>
      <c r="D208" s="56"/>
      <c r="E208" s="56"/>
      <c r="F208" s="56"/>
    </row>
    <row r="209">
      <c r="A209" s="56"/>
      <c r="B209" s="57"/>
      <c r="C209" s="56"/>
      <c r="D209" s="56"/>
      <c r="E209" s="56"/>
      <c r="F209" s="56"/>
    </row>
    <row r="210">
      <c r="A210" s="56"/>
      <c r="B210" s="57"/>
      <c r="C210" s="56"/>
      <c r="D210" s="56"/>
      <c r="E210" s="56"/>
      <c r="F210" s="56"/>
    </row>
    <row r="211">
      <c r="A211" s="56"/>
      <c r="B211" s="57"/>
      <c r="C211" s="56"/>
      <c r="D211" s="56"/>
      <c r="E211" s="56"/>
      <c r="F211" s="56"/>
    </row>
    <row r="212">
      <c r="A212" s="56"/>
      <c r="B212" s="57"/>
      <c r="C212" s="56"/>
      <c r="D212" s="56"/>
      <c r="E212" s="56"/>
      <c r="F212" s="56"/>
    </row>
    <row r="213">
      <c r="A213" s="56"/>
      <c r="B213" s="57"/>
      <c r="C213" s="56"/>
      <c r="D213" s="56"/>
      <c r="E213" s="56"/>
      <c r="F213" s="56"/>
    </row>
    <row r="214">
      <c r="A214" s="56"/>
      <c r="B214" s="57"/>
      <c r="C214" s="56"/>
      <c r="D214" s="56"/>
      <c r="E214" s="56"/>
      <c r="F214" s="56"/>
    </row>
    <row r="215">
      <c r="A215" s="56"/>
      <c r="B215" s="57"/>
      <c r="C215" s="56"/>
      <c r="D215" s="56"/>
      <c r="E215" s="56"/>
      <c r="F215" s="56"/>
    </row>
    <row r="216">
      <c r="A216" s="56"/>
      <c r="B216" s="57"/>
      <c r="C216" s="56"/>
      <c r="D216" s="56"/>
      <c r="E216" s="56"/>
      <c r="F216" s="56"/>
    </row>
    <row r="217">
      <c r="A217" s="56"/>
      <c r="B217" s="57"/>
      <c r="C217" s="56"/>
      <c r="D217" s="56"/>
      <c r="E217" s="56"/>
      <c r="F217" s="56"/>
    </row>
    <row r="218">
      <c r="A218" s="56"/>
      <c r="B218" s="57"/>
      <c r="C218" s="56"/>
      <c r="D218" s="56"/>
      <c r="E218" s="56"/>
      <c r="F218" s="56"/>
    </row>
    <row r="219">
      <c r="A219" s="56"/>
      <c r="B219" s="57"/>
      <c r="C219" s="56"/>
      <c r="D219" s="56"/>
      <c r="E219" s="56"/>
      <c r="F219" s="56"/>
    </row>
    <row r="220">
      <c r="A220" s="56"/>
      <c r="B220" s="57"/>
      <c r="C220" s="56"/>
      <c r="D220" s="56"/>
      <c r="E220" s="56"/>
      <c r="F220" s="56"/>
    </row>
    <row r="221">
      <c r="A221" s="56"/>
      <c r="B221" s="57"/>
      <c r="C221" s="56"/>
      <c r="D221" s="56"/>
      <c r="E221" s="56"/>
      <c r="F221" s="56"/>
    </row>
    <row r="222">
      <c r="A222" s="56"/>
      <c r="B222" s="57"/>
      <c r="C222" s="56"/>
      <c r="D222" s="56"/>
      <c r="E222" s="56"/>
      <c r="F222" s="56"/>
    </row>
    <row r="223">
      <c r="A223" s="56"/>
      <c r="B223" s="57"/>
      <c r="C223" s="56"/>
      <c r="D223" s="56"/>
      <c r="E223" s="56"/>
      <c r="F223" s="56"/>
    </row>
    <row r="224">
      <c r="A224" s="56"/>
      <c r="B224" s="57"/>
      <c r="C224" s="56"/>
      <c r="D224" s="56"/>
      <c r="E224" s="56"/>
      <c r="F224" s="56"/>
    </row>
    <row r="225">
      <c r="A225" s="56"/>
      <c r="B225" s="57"/>
      <c r="C225" s="56"/>
      <c r="D225" s="56"/>
      <c r="E225" s="56"/>
      <c r="F225" s="56"/>
    </row>
    <row r="226">
      <c r="A226" s="56"/>
      <c r="B226" s="57"/>
      <c r="C226" s="56"/>
      <c r="D226" s="56"/>
      <c r="E226" s="56"/>
      <c r="F226" s="56"/>
    </row>
    <row r="227">
      <c r="A227" s="56"/>
      <c r="B227" s="57"/>
      <c r="C227" s="56"/>
      <c r="D227" s="56"/>
      <c r="E227" s="56"/>
      <c r="F227" s="56"/>
    </row>
    <row r="228">
      <c r="A228" s="56"/>
      <c r="B228" s="57"/>
      <c r="C228" s="56"/>
      <c r="D228" s="56"/>
      <c r="E228" s="56"/>
      <c r="F228" s="56"/>
    </row>
    <row r="229">
      <c r="A229" s="56"/>
      <c r="B229" s="57"/>
      <c r="C229" s="56"/>
      <c r="D229" s="56"/>
      <c r="E229" s="56"/>
      <c r="F229" s="56"/>
    </row>
    <row r="230">
      <c r="A230" s="56"/>
      <c r="B230" s="57"/>
      <c r="C230" s="56"/>
      <c r="D230" s="56"/>
      <c r="E230" s="56"/>
      <c r="F230" s="56"/>
    </row>
    <row r="231">
      <c r="A231" s="56"/>
      <c r="B231" s="57"/>
      <c r="C231" s="56"/>
      <c r="D231" s="56"/>
      <c r="E231" s="56"/>
      <c r="F231" s="56"/>
    </row>
    <row r="232">
      <c r="A232" s="56"/>
      <c r="B232" s="57"/>
      <c r="C232" s="56"/>
      <c r="D232" s="56"/>
      <c r="E232" s="56"/>
      <c r="F232" s="56"/>
    </row>
    <row r="233">
      <c r="A233" s="56"/>
      <c r="B233" s="57"/>
      <c r="C233" s="56"/>
      <c r="D233" s="56"/>
      <c r="E233" s="56"/>
      <c r="F233" s="56"/>
    </row>
    <row r="234">
      <c r="A234" s="56"/>
      <c r="B234" s="57"/>
      <c r="C234" s="56"/>
      <c r="D234" s="56"/>
      <c r="E234" s="56"/>
      <c r="F234" s="56"/>
    </row>
    <row r="235">
      <c r="A235" s="56"/>
      <c r="B235" s="57"/>
      <c r="C235" s="56"/>
      <c r="D235" s="56"/>
      <c r="E235" s="56"/>
      <c r="F235" s="56"/>
    </row>
    <row r="236">
      <c r="A236" s="56"/>
      <c r="B236" s="57"/>
      <c r="C236" s="56"/>
      <c r="D236" s="56"/>
      <c r="E236" s="56"/>
      <c r="F236" s="56"/>
    </row>
    <row r="237">
      <c r="A237" s="56"/>
      <c r="B237" s="57"/>
      <c r="C237" s="56"/>
      <c r="D237" s="56"/>
      <c r="E237" s="56"/>
      <c r="F237" s="56"/>
    </row>
    <row r="238">
      <c r="A238" s="56"/>
      <c r="B238" s="57"/>
      <c r="C238" s="56"/>
      <c r="D238" s="56"/>
      <c r="E238" s="56"/>
      <c r="F238" s="56"/>
    </row>
    <row r="239">
      <c r="A239" s="56"/>
      <c r="B239" s="57"/>
      <c r="C239" s="56"/>
      <c r="D239" s="56"/>
      <c r="E239" s="56"/>
      <c r="F239" s="56"/>
    </row>
    <row r="240">
      <c r="A240" s="56"/>
      <c r="B240" s="57"/>
      <c r="C240" s="56"/>
      <c r="D240" s="56"/>
      <c r="E240" s="56"/>
      <c r="F240" s="56"/>
    </row>
    <row r="241">
      <c r="A241" s="56"/>
      <c r="B241" s="57"/>
      <c r="C241" s="56"/>
      <c r="D241" s="56"/>
      <c r="E241" s="56"/>
      <c r="F241" s="56"/>
    </row>
    <row r="242">
      <c r="A242" s="56"/>
      <c r="B242" s="57"/>
      <c r="C242" s="56"/>
      <c r="D242" s="56"/>
      <c r="E242" s="56"/>
      <c r="F242" s="56"/>
    </row>
    <row r="243">
      <c r="A243" s="56"/>
      <c r="B243" s="57"/>
      <c r="C243" s="56"/>
      <c r="D243" s="56"/>
      <c r="E243" s="56"/>
      <c r="F243" s="56"/>
    </row>
    <row r="244">
      <c r="A244" s="56"/>
      <c r="B244" s="57"/>
      <c r="C244" s="56"/>
      <c r="D244" s="56"/>
      <c r="E244" s="56"/>
      <c r="F244" s="56"/>
    </row>
    <row r="245">
      <c r="A245" s="56"/>
      <c r="B245" s="57"/>
      <c r="C245" s="56"/>
      <c r="D245" s="56"/>
      <c r="E245" s="56"/>
      <c r="F245" s="56"/>
    </row>
    <row r="246">
      <c r="A246" s="56"/>
      <c r="B246" s="57"/>
      <c r="C246" s="56"/>
      <c r="D246" s="56"/>
      <c r="E246" s="56"/>
      <c r="F246" s="56"/>
    </row>
    <row r="247">
      <c r="A247" s="56"/>
      <c r="B247" s="57"/>
      <c r="C247" s="56"/>
      <c r="D247" s="56"/>
      <c r="E247" s="56"/>
      <c r="F247" s="56"/>
    </row>
    <row r="248">
      <c r="A248" s="56"/>
      <c r="B248" s="57"/>
      <c r="C248" s="56"/>
      <c r="D248" s="56"/>
      <c r="E248" s="56"/>
      <c r="F248" s="56"/>
    </row>
    <row r="249">
      <c r="A249" s="56"/>
      <c r="B249" s="57"/>
      <c r="C249" s="56"/>
      <c r="D249" s="56"/>
      <c r="E249" s="56"/>
      <c r="F249" s="56"/>
    </row>
    <row r="250">
      <c r="A250" s="56"/>
      <c r="B250" s="57"/>
      <c r="C250" s="56"/>
      <c r="D250" s="56"/>
      <c r="E250" s="56"/>
      <c r="F250" s="56"/>
    </row>
    <row r="251">
      <c r="A251" s="56"/>
      <c r="B251" s="57"/>
      <c r="C251" s="56"/>
      <c r="D251" s="56"/>
      <c r="E251" s="56"/>
      <c r="F251" s="56"/>
    </row>
    <row r="252">
      <c r="A252" s="56"/>
      <c r="B252" s="57"/>
      <c r="C252" s="56"/>
      <c r="D252" s="56"/>
      <c r="E252" s="56"/>
      <c r="F252" s="56"/>
    </row>
    <row r="253">
      <c r="A253" s="56"/>
      <c r="B253" s="57"/>
      <c r="C253" s="56"/>
      <c r="D253" s="56"/>
      <c r="E253" s="56"/>
      <c r="F253" s="56"/>
    </row>
    <row r="254">
      <c r="A254" s="56"/>
      <c r="B254" s="57"/>
      <c r="C254" s="56"/>
      <c r="D254" s="56"/>
      <c r="E254" s="56"/>
      <c r="F254" s="56"/>
    </row>
    <row r="255">
      <c r="A255" s="56"/>
      <c r="B255" s="57"/>
      <c r="C255" s="56"/>
      <c r="D255" s="56"/>
      <c r="E255" s="56"/>
      <c r="F255" s="56"/>
    </row>
    <row r="256">
      <c r="A256" s="56"/>
      <c r="B256" s="57"/>
      <c r="C256" s="56"/>
      <c r="D256" s="56"/>
      <c r="E256" s="56"/>
      <c r="F256" s="56"/>
    </row>
    <row r="257">
      <c r="A257" s="56"/>
      <c r="B257" s="57"/>
      <c r="C257" s="56"/>
      <c r="D257" s="56"/>
      <c r="E257" s="56"/>
      <c r="F257" s="56"/>
    </row>
    <row r="258">
      <c r="A258" s="56"/>
      <c r="B258" s="57"/>
      <c r="C258" s="56"/>
      <c r="D258" s="56"/>
      <c r="E258" s="56"/>
      <c r="F258" s="56"/>
    </row>
    <row r="259">
      <c r="A259" s="56"/>
      <c r="B259" s="57"/>
      <c r="C259" s="56"/>
      <c r="D259" s="56"/>
      <c r="E259" s="56"/>
      <c r="F259" s="56"/>
    </row>
    <row r="260">
      <c r="A260" s="56"/>
      <c r="B260" s="57"/>
      <c r="C260" s="56"/>
      <c r="D260" s="56"/>
      <c r="E260" s="56"/>
      <c r="F260" s="56"/>
    </row>
    <row r="261">
      <c r="A261" s="56"/>
      <c r="B261" s="57"/>
      <c r="C261" s="56"/>
      <c r="D261" s="56"/>
      <c r="E261" s="56"/>
      <c r="F261" s="56"/>
    </row>
    <row r="262">
      <c r="A262" s="56"/>
      <c r="B262" s="57"/>
      <c r="C262" s="56"/>
      <c r="D262" s="56"/>
      <c r="E262" s="56"/>
      <c r="F262" s="56"/>
    </row>
    <row r="263">
      <c r="A263" s="56"/>
      <c r="B263" s="57"/>
      <c r="C263" s="56"/>
      <c r="D263" s="56"/>
      <c r="E263" s="56"/>
      <c r="F263" s="56"/>
    </row>
    <row r="264">
      <c r="A264" s="56"/>
      <c r="B264" s="57"/>
      <c r="C264" s="56"/>
      <c r="D264" s="56"/>
      <c r="E264" s="56"/>
      <c r="F264" s="56"/>
    </row>
    <row r="265">
      <c r="A265" s="56"/>
      <c r="B265" s="57"/>
      <c r="C265" s="56"/>
      <c r="D265" s="56"/>
      <c r="E265" s="56"/>
      <c r="F265" s="56"/>
    </row>
    <row r="266">
      <c r="A266" s="56"/>
      <c r="B266" s="57"/>
      <c r="C266" s="56"/>
      <c r="D266" s="56"/>
      <c r="E266" s="56"/>
      <c r="F266" s="56"/>
    </row>
    <row r="267">
      <c r="A267" s="56"/>
      <c r="B267" s="57"/>
      <c r="C267" s="56"/>
      <c r="D267" s="56"/>
      <c r="E267" s="56"/>
      <c r="F267" s="56"/>
    </row>
    <row r="268">
      <c r="A268" s="56"/>
      <c r="B268" s="57"/>
      <c r="C268" s="56"/>
      <c r="D268" s="56"/>
      <c r="E268" s="56"/>
      <c r="F268" s="56"/>
    </row>
    <row r="269">
      <c r="A269" s="56"/>
      <c r="B269" s="57"/>
      <c r="C269" s="56"/>
      <c r="D269" s="56"/>
      <c r="E269" s="56"/>
      <c r="F269" s="56"/>
    </row>
    <row r="270">
      <c r="A270" s="56"/>
      <c r="B270" s="57"/>
      <c r="C270" s="56"/>
      <c r="D270" s="56"/>
      <c r="E270" s="56"/>
      <c r="F270" s="56"/>
    </row>
    <row r="271">
      <c r="A271" s="56"/>
      <c r="B271" s="57"/>
      <c r="C271" s="56"/>
      <c r="D271" s="56"/>
      <c r="E271" s="56"/>
      <c r="F271" s="56"/>
    </row>
    <row r="272">
      <c r="A272" s="56"/>
      <c r="B272" s="57"/>
      <c r="C272" s="56"/>
      <c r="D272" s="56"/>
      <c r="E272" s="56"/>
      <c r="F272" s="56"/>
    </row>
    <row r="273">
      <c r="A273" s="56"/>
      <c r="B273" s="57"/>
      <c r="C273" s="56"/>
      <c r="D273" s="56"/>
      <c r="E273" s="56"/>
      <c r="F273" s="56"/>
    </row>
    <row r="274">
      <c r="A274" s="56"/>
      <c r="B274" s="57"/>
      <c r="C274" s="56"/>
      <c r="D274" s="56"/>
      <c r="E274" s="56"/>
      <c r="F274" s="56"/>
    </row>
    <row r="275">
      <c r="A275" s="56"/>
      <c r="B275" s="57"/>
      <c r="C275" s="56"/>
      <c r="D275" s="56"/>
      <c r="E275" s="56"/>
      <c r="F275" s="56"/>
    </row>
    <row r="276">
      <c r="A276" s="56"/>
      <c r="B276" s="57"/>
      <c r="C276" s="56"/>
      <c r="D276" s="56"/>
      <c r="E276" s="56"/>
      <c r="F276" s="56"/>
    </row>
    <row r="277">
      <c r="A277" s="56"/>
      <c r="B277" s="57"/>
      <c r="C277" s="56"/>
      <c r="D277" s="56"/>
      <c r="E277" s="56"/>
      <c r="F277" s="56"/>
    </row>
    <row r="278">
      <c r="A278" s="56"/>
      <c r="B278" s="57"/>
      <c r="C278" s="56"/>
      <c r="D278" s="56"/>
      <c r="E278" s="56"/>
      <c r="F278" s="56"/>
    </row>
    <row r="279">
      <c r="A279" s="56"/>
      <c r="B279" s="57"/>
      <c r="C279" s="56"/>
      <c r="D279" s="56"/>
      <c r="E279" s="56"/>
      <c r="F279" s="56"/>
    </row>
    <row r="280">
      <c r="A280" s="56"/>
      <c r="B280" s="57"/>
      <c r="C280" s="56"/>
      <c r="D280" s="56"/>
      <c r="E280" s="56"/>
      <c r="F280" s="56"/>
    </row>
    <row r="281">
      <c r="A281" s="56"/>
      <c r="B281" s="57"/>
      <c r="C281" s="56"/>
      <c r="D281" s="56"/>
      <c r="E281" s="56"/>
      <c r="F281" s="56"/>
    </row>
    <row r="282">
      <c r="A282" s="56"/>
      <c r="B282" s="57"/>
      <c r="C282" s="56"/>
      <c r="D282" s="56"/>
      <c r="E282" s="56"/>
      <c r="F282" s="56"/>
    </row>
    <row r="283">
      <c r="A283" s="56"/>
      <c r="B283" s="57"/>
      <c r="C283" s="56"/>
      <c r="D283" s="56"/>
      <c r="E283" s="56"/>
      <c r="F283" s="56"/>
    </row>
    <row r="284">
      <c r="A284" s="56"/>
      <c r="B284" s="57"/>
      <c r="C284" s="56"/>
      <c r="D284" s="56"/>
      <c r="E284" s="56"/>
      <c r="F284" s="56"/>
    </row>
    <row r="285">
      <c r="A285" s="56"/>
      <c r="B285" s="57"/>
      <c r="C285" s="56"/>
      <c r="D285" s="56"/>
      <c r="E285" s="56"/>
      <c r="F285" s="56"/>
    </row>
    <row r="286">
      <c r="A286" s="56"/>
      <c r="B286" s="57"/>
      <c r="C286" s="56"/>
      <c r="D286" s="56"/>
      <c r="E286" s="56"/>
      <c r="F286" s="56"/>
    </row>
    <row r="287">
      <c r="A287" s="56"/>
      <c r="B287" s="57"/>
      <c r="C287" s="56"/>
      <c r="D287" s="56"/>
      <c r="E287" s="56"/>
      <c r="F287" s="56"/>
    </row>
    <row r="288">
      <c r="A288" s="56"/>
      <c r="B288" s="57"/>
      <c r="C288" s="56"/>
      <c r="D288" s="56"/>
      <c r="E288" s="56"/>
      <c r="F288" s="56"/>
    </row>
    <row r="289">
      <c r="A289" s="56"/>
      <c r="B289" s="57"/>
      <c r="C289" s="56"/>
      <c r="D289" s="56"/>
      <c r="E289" s="56"/>
      <c r="F289" s="56"/>
    </row>
    <row r="290">
      <c r="A290" s="56"/>
      <c r="B290" s="57"/>
      <c r="C290" s="56"/>
      <c r="D290" s="56"/>
      <c r="E290" s="56"/>
      <c r="F290" s="56"/>
    </row>
    <row r="291">
      <c r="A291" s="56"/>
      <c r="B291" s="57"/>
      <c r="C291" s="56"/>
      <c r="D291" s="56"/>
      <c r="E291" s="56"/>
      <c r="F291" s="56"/>
    </row>
    <row r="292">
      <c r="A292" s="56"/>
      <c r="B292" s="57"/>
      <c r="C292" s="56"/>
      <c r="D292" s="56"/>
      <c r="E292" s="56"/>
      <c r="F292" s="56"/>
    </row>
    <row r="293">
      <c r="A293" s="56"/>
      <c r="B293" s="57"/>
      <c r="C293" s="56"/>
      <c r="D293" s="56"/>
      <c r="E293" s="56"/>
      <c r="F293" s="56"/>
    </row>
    <row r="294">
      <c r="A294" s="56"/>
      <c r="B294" s="57"/>
      <c r="C294" s="56"/>
      <c r="D294" s="56"/>
      <c r="E294" s="56"/>
      <c r="F294" s="56"/>
    </row>
    <row r="295">
      <c r="A295" s="56"/>
      <c r="B295" s="57"/>
      <c r="C295" s="56"/>
      <c r="D295" s="56"/>
      <c r="E295" s="56"/>
      <c r="F295" s="56"/>
    </row>
    <row r="296">
      <c r="A296" s="56"/>
      <c r="B296" s="57"/>
      <c r="C296" s="56"/>
      <c r="D296" s="56"/>
      <c r="E296" s="56"/>
      <c r="F296" s="56"/>
    </row>
    <row r="297">
      <c r="A297" s="56"/>
      <c r="B297" s="57"/>
      <c r="C297" s="56"/>
      <c r="D297" s="56"/>
      <c r="E297" s="56"/>
      <c r="F297" s="56"/>
    </row>
    <row r="298">
      <c r="A298" s="56"/>
      <c r="B298" s="57"/>
      <c r="C298" s="56"/>
      <c r="D298" s="56"/>
      <c r="E298" s="56"/>
      <c r="F298" s="56"/>
    </row>
    <row r="299">
      <c r="A299" s="56"/>
      <c r="B299" s="57"/>
      <c r="C299" s="56"/>
      <c r="D299" s="56"/>
      <c r="E299" s="56"/>
      <c r="F299" s="56"/>
    </row>
    <row r="300">
      <c r="A300" s="56"/>
      <c r="B300" s="57"/>
      <c r="C300" s="56"/>
      <c r="D300" s="56"/>
      <c r="E300" s="56"/>
      <c r="F300" s="56"/>
    </row>
    <row r="301">
      <c r="A301" s="56"/>
      <c r="B301" s="57"/>
      <c r="C301" s="56"/>
      <c r="D301" s="56"/>
      <c r="E301" s="56"/>
      <c r="F301" s="56"/>
    </row>
    <row r="302">
      <c r="A302" s="56"/>
      <c r="B302" s="57"/>
      <c r="C302" s="56"/>
      <c r="D302" s="56"/>
      <c r="E302" s="56"/>
      <c r="F302" s="56"/>
    </row>
    <row r="303">
      <c r="A303" s="56"/>
      <c r="B303" s="57"/>
      <c r="C303" s="56"/>
      <c r="D303" s="56"/>
      <c r="E303" s="56"/>
      <c r="F303" s="56"/>
    </row>
    <row r="304">
      <c r="A304" s="56"/>
      <c r="B304" s="57"/>
      <c r="C304" s="56"/>
      <c r="D304" s="56"/>
      <c r="E304" s="56"/>
      <c r="F304" s="56"/>
    </row>
    <row r="305">
      <c r="A305" s="56"/>
      <c r="B305" s="57"/>
      <c r="C305" s="56"/>
      <c r="D305" s="56"/>
      <c r="E305" s="56"/>
      <c r="F305" s="56"/>
    </row>
    <row r="306">
      <c r="A306" s="56"/>
      <c r="B306" s="57"/>
      <c r="C306" s="56"/>
      <c r="D306" s="56"/>
      <c r="E306" s="56"/>
      <c r="F306" s="56"/>
    </row>
    <row r="307">
      <c r="A307" s="56"/>
      <c r="B307" s="57"/>
      <c r="C307" s="56"/>
      <c r="D307" s="56"/>
      <c r="E307" s="56"/>
      <c r="F307" s="56"/>
    </row>
    <row r="308">
      <c r="A308" s="56"/>
      <c r="B308" s="57"/>
      <c r="C308" s="56"/>
      <c r="D308" s="56"/>
      <c r="E308" s="56"/>
      <c r="F308" s="56"/>
    </row>
    <row r="309">
      <c r="A309" s="56"/>
      <c r="B309" s="57"/>
      <c r="C309" s="56"/>
      <c r="D309" s="56"/>
      <c r="E309" s="56"/>
      <c r="F309" s="56"/>
    </row>
    <row r="310">
      <c r="A310" s="56"/>
      <c r="B310" s="57"/>
      <c r="C310" s="56"/>
      <c r="D310" s="56"/>
      <c r="E310" s="56"/>
      <c r="F310" s="56"/>
    </row>
    <row r="311">
      <c r="A311" s="56"/>
      <c r="B311" s="57"/>
      <c r="C311" s="56"/>
      <c r="D311" s="56"/>
      <c r="E311" s="56"/>
      <c r="F311" s="56"/>
    </row>
    <row r="312">
      <c r="A312" s="56"/>
      <c r="B312" s="57"/>
      <c r="C312" s="56"/>
      <c r="D312" s="56"/>
      <c r="E312" s="56"/>
      <c r="F312" s="56"/>
    </row>
    <row r="313">
      <c r="A313" s="56"/>
      <c r="B313" s="57"/>
      <c r="C313" s="56"/>
      <c r="D313" s="56"/>
      <c r="E313" s="56"/>
      <c r="F313" s="56"/>
    </row>
    <row r="314">
      <c r="A314" s="56"/>
      <c r="B314" s="57"/>
      <c r="C314" s="56"/>
      <c r="D314" s="56"/>
      <c r="E314" s="56"/>
      <c r="F314" s="56"/>
    </row>
    <row r="315">
      <c r="A315" s="56"/>
      <c r="B315" s="57"/>
      <c r="C315" s="56"/>
      <c r="D315" s="56"/>
      <c r="E315" s="56"/>
      <c r="F315" s="56"/>
    </row>
    <row r="316">
      <c r="A316" s="56"/>
      <c r="B316" s="57"/>
      <c r="C316" s="56"/>
      <c r="D316" s="56"/>
      <c r="E316" s="56"/>
      <c r="F316" s="56"/>
    </row>
    <row r="317">
      <c r="A317" s="56"/>
      <c r="B317" s="57"/>
      <c r="C317" s="56"/>
      <c r="D317" s="56"/>
      <c r="E317" s="56"/>
      <c r="F317" s="56"/>
    </row>
    <row r="318">
      <c r="A318" s="56"/>
      <c r="B318" s="57"/>
      <c r="C318" s="56"/>
      <c r="D318" s="56"/>
      <c r="E318" s="56"/>
      <c r="F318" s="56"/>
    </row>
    <row r="319">
      <c r="A319" s="56"/>
      <c r="B319" s="57"/>
      <c r="C319" s="56"/>
      <c r="D319" s="56"/>
      <c r="E319" s="56"/>
      <c r="F319" s="56"/>
    </row>
    <row r="320">
      <c r="A320" s="56"/>
      <c r="B320" s="57"/>
      <c r="C320" s="56"/>
      <c r="D320" s="56"/>
      <c r="E320" s="56"/>
      <c r="F320" s="56"/>
    </row>
    <row r="321">
      <c r="A321" s="56"/>
      <c r="B321" s="57"/>
      <c r="C321" s="56"/>
      <c r="D321" s="56"/>
      <c r="E321" s="56"/>
      <c r="F321" s="56"/>
    </row>
    <row r="322">
      <c r="A322" s="56"/>
      <c r="B322" s="57"/>
      <c r="C322" s="56"/>
      <c r="D322" s="56"/>
      <c r="E322" s="56"/>
      <c r="F322" s="56"/>
    </row>
    <row r="323">
      <c r="A323" s="56"/>
      <c r="B323" s="57"/>
      <c r="C323" s="56"/>
      <c r="D323" s="56"/>
      <c r="E323" s="56"/>
      <c r="F323" s="56"/>
    </row>
    <row r="324">
      <c r="A324" s="56"/>
      <c r="B324" s="57"/>
      <c r="C324" s="56"/>
      <c r="D324" s="56"/>
      <c r="E324" s="56"/>
      <c r="F324" s="56"/>
    </row>
    <row r="325">
      <c r="A325" s="56"/>
      <c r="B325" s="57"/>
      <c r="C325" s="56"/>
      <c r="D325" s="56"/>
      <c r="E325" s="56"/>
      <c r="F325" s="56"/>
    </row>
    <row r="326">
      <c r="A326" s="56"/>
      <c r="B326" s="57"/>
      <c r="C326" s="56"/>
      <c r="D326" s="56"/>
      <c r="E326" s="56"/>
      <c r="F326" s="56"/>
    </row>
    <row r="327">
      <c r="A327" s="56"/>
      <c r="B327" s="57"/>
      <c r="C327" s="56"/>
      <c r="D327" s="56"/>
      <c r="E327" s="56"/>
      <c r="F327" s="56"/>
    </row>
    <row r="328">
      <c r="A328" s="56"/>
      <c r="B328" s="57"/>
      <c r="C328" s="56"/>
      <c r="D328" s="56"/>
      <c r="E328" s="56"/>
      <c r="F328" s="56"/>
    </row>
    <row r="329">
      <c r="A329" s="56"/>
      <c r="B329" s="57"/>
      <c r="C329" s="56"/>
      <c r="D329" s="56"/>
      <c r="E329" s="56"/>
      <c r="F329" s="56"/>
    </row>
    <row r="330">
      <c r="A330" s="56"/>
      <c r="B330" s="57"/>
      <c r="C330" s="56"/>
      <c r="D330" s="56"/>
      <c r="E330" s="56"/>
      <c r="F330" s="56"/>
    </row>
    <row r="331">
      <c r="A331" s="56"/>
      <c r="B331" s="57"/>
      <c r="C331" s="56"/>
      <c r="D331" s="56"/>
      <c r="E331" s="56"/>
      <c r="F331" s="56"/>
    </row>
    <row r="332">
      <c r="A332" s="56"/>
      <c r="B332" s="57"/>
      <c r="C332" s="56"/>
      <c r="D332" s="56"/>
      <c r="E332" s="56"/>
      <c r="F332" s="56"/>
    </row>
    <row r="333">
      <c r="A333" s="56"/>
      <c r="B333" s="57"/>
      <c r="C333" s="56"/>
      <c r="D333" s="56"/>
      <c r="E333" s="56"/>
      <c r="F333" s="56"/>
    </row>
    <row r="334">
      <c r="A334" s="56"/>
      <c r="B334" s="57"/>
      <c r="C334" s="56"/>
      <c r="D334" s="56"/>
      <c r="E334" s="56"/>
      <c r="F334" s="56"/>
    </row>
    <row r="335">
      <c r="A335" s="56"/>
      <c r="B335" s="57"/>
      <c r="C335" s="56"/>
      <c r="D335" s="56"/>
      <c r="E335" s="56"/>
      <c r="F335" s="56"/>
    </row>
    <row r="336">
      <c r="A336" s="56"/>
      <c r="B336" s="57"/>
      <c r="C336" s="56"/>
      <c r="D336" s="56"/>
      <c r="E336" s="56"/>
      <c r="F336" s="56"/>
    </row>
    <row r="337">
      <c r="A337" s="56"/>
      <c r="B337" s="57"/>
      <c r="C337" s="56"/>
      <c r="D337" s="56"/>
      <c r="E337" s="56"/>
      <c r="F337" s="56"/>
    </row>
    <row r="338">
      <c r="A338" s="56"/>
      <c r="B338" s="57"/>
      <c r="C338" s="56"/>
      <c r="D338" s="56"/>
      <c r="E338" s="56"/>
      <c r="F338" s="56"/>
    </row>
    <row r="339">
      <c r="A339" s="56"/>
      <c r="B339" s="57"/>
      <c r="C339" s="56"/>
      <c r="D339" s="56"/>
      <c r="E339" s="56"/>
      <c r="F339" s="56"/>
    </row>
    <row r="340">
      <c r="A340" s="56"/>
      <c r="B340" s="57"/>
      <c r="C340" s="56"/>
      <c r="D340" s="56"/>
      <c r="E340" s="56"/>
      <c r="F340" s="56"/>
    </row>
    <row r="341">
      <c r="A341" s="56"/>
      <c r="B341" s="57"/>
      <c r="C341" s="56"/>
      <c r="D341" s="56"/>
      <c r="E341" s="56"/>
      <c r="F341" s="56"/>
    </row>
    <row r="342">
      <c r="A342" s="56"/>
      <c r="B342" s="57"/>
      <c r="C342" s="56"/>
      <c r="D342" s="56"/>
      <c r="E342" s="56"/>
      <c r="F342" s="56"/>
    </row>
    <row r="343">
      <c r="A343" s="56"/>
      <c r="B343" s="57"/>
      <c r="C343" s="56"/>
      <c r="D343" s="56"/>
      <c r="E343" s="56"/>
      <c r="F343" s="56"/>
    </row>
    <row r="344">
      <c r="A344" s="56"/>
      <c r="B344" s="57"/>
      <c r="C344" s="56"/>
      <c r="D344" s="56"/>
      <c r="E344" s="56"/>
      <c r="F344" s="56"/>
    </row>
    <row r="345">
      <c r="A345" s="56"/>
      <c r="B345" s="57"/>
      <c r="C345" s="56"/>
      <c r="D345" s="56"/>
      <c r="E345" s="56"/>
      <c r="F345" s="56"/>
    </row>
    <row r="346">
      <c r="A346" s="56"/>
      <c r="B346" s="57"/>
      <c r="C346" s="56"/>
      <c r="D346" s="56"/>
      <c r="E346" s="56"/>
      <c r="F346" s="56"/>
    </row>
    <row r="347">
      <c r="A347" s="56"/>
      <c r="B347" s="57"/>
      <c r="C347" s="56"/>
      <c r="D347" s="56"/>
      <c r="E347" s="56"/>
      <c r="F347" s="56"/>
    </row>
    <row r="348">
      <c r="A348" s="56"/>
      <c r="B348" s="57"/>
      <c r="C348" s="56"/>
      <c r="D348" s="56"/>
      <c r="E348" s="56"/>
      <c r="F348" s="56"/>
    </row>
    <row r="349">
      <c r="A349" s="56"/>
      <c r="B349" s="57"/>
      <c r="C349" s="56"/>
      <c r="D349" s="56"/>
      <c r="E349" s="56"/>
      <c r="F349" s="56"/>
    </row>
    <row r="350">
      <c r="A350" s="56"/>
      <c r="B350" s="57"/>
      <c r="C350" s="56"/>
      <c r="D350" s="56"/>
      <c r="E350" s="56"/>
      <c r="F350" s="56"/>
    </row>
    <row r="351">
      <c r="A351" s="56"/>
      <c r="B351" s="57"/>
      <c r="C351" s="56"/>
      <c r="D351" s="56"/>
      <c r="E351" s="56"/>
      <c r="F351" s="56"/>
    </row>
    <row r="352">
      <c r="A352" s="56"/>
      <c r="B352" s="57"/>
      <c r="C352" s="56"/>
      <c r="D352" s="56"/>
      <c r="E352" s="56"/>
      <c r="F352" s="56"/>
    </row>
    <row r="353">
      <c r="A353" s="56"/>
      <c r="B353" s="57"/>
      <c r="C353" s="56"/>
      <c r="D353" s="56"/>
      <c r="E353" s="56"/>
      <c r="F353" s="56"/>
    </row>
    <row r="354">
      <c r="A354" s="56"/>
      <c r="B354" s="57"/>
      <c r="C354" s="56"/>
      <c r="D354" s="56"/>
      <c r="E354" s="56"/>
      <c r="F354" s="56"/>
    </row>
    <row r="355">
      <c r="A355" s="56"/>
      <c r="B355" s="57"/>
      <c r="C355" s="56"/>
      <c r="D355" s="56"/>
      <c r="E355" s="56"/>
      <c r="F355" s="56"/>
    </row>
    <row r="356">
      <c r="A356" s="56"/>
      <c r="B356" s="57"/>
      <c r="C356" s="56"/>
      <c r="D356" s="56"/>
      <c r="E356" s="56"/>
      <c r="F356" s="56"/>
    </row>
    <row r="357">
      <c r="A357" s="56"/>
      <c r="B357" s="57"/>
      <c r="C357" s="56"/>
      <c r="D357" s="56"/>
      <c r="E357" s="56"/>
      <c r="F357" s="56"/>
    </row>
    <row r="358">
      <c r="A358" s="56"/>
      <c r="B358" s="57"/>
      <c r="C358" s="56"/>
      <c r="D358" s="56"/>
      <c r="E358" s="56"/>
      <c r="F358" s="56"/>
    </row>
    <row r="359">
      <c r="A359" s="56"/>
      <c r="B359" s="57"/>
      <c r="C359" s="56"/>
      <c r="D359" s="56"/>
      <c r="E359" s="56"/>
      <c r="F359" s="56"/>
    </row>
    <row r="360">
      <c r="A360" s="56"/>
      <c r="B360" s="57"/>
      <c r="C360" s="56"/>
      <c r="D360" s="56"/>
      <c r="E360" s="56"/>
      <c r="F360" s="56"/>
    </row>
    <row r="361">
      <c r="A361" s="56"/>
      <c r="B361" s="57"/>
      <c r="C361" s="56"/>
      <c r="D361" s="56"/>
      <c r="E361" s="56"/>
      <c r="F361" s="56"/>
    </row>
    <row r="362">
      <c r="A362" s="56"/>
      <c r="B362" s="57"/>
      <c r="C362" s="56"/>
      <c r="D362" s="56"/>
      <c r="E362" s="56"/>
      <c r="F362" s="56"/>
    </row>
    <row r="363">
      <c r="A363" s="56"/>
      <c r="B363" s="57"/>
      <c r="C363" s="56"/>
      <c r="D363" s="56"/>
      <c r="E363" s="56"/>
      <c r="F363" s="56"/>
    </row>
    <row r="364">
      <c r="A364" s="56"/>
      <c r="B364" s="57"/>
      <c r="C364" s="56"/>
      <c r="D364" s="56"/>
      <c r="E364" s="56"/>
      <c r="F364" s="56"/>
    </row>
    <row r="365">
      <c r="A365" s="56"/>
      <c r="B365" s="57"/>
      <c r="C365" s="56"/>
      <c r="D365" s="56"/>
      <c r="E365" s="56"/>
      <c r="F365" s="56"/>
    </row>
    <row r="366">
      <c r="A366" s="56"/>
      <c r="B366" s="57"/>
      <c r="C366" s="56"/>
      <c r="D366" s="56"/>
      <c r="E366" s="56"/>
      <c r="F366" s="56"/>
    </row>
    <row r="367">
      <c r="A367" s="56"/>
      <c r="B367" s="57"/>
      <c r="C367" s="56"/>
      <c r="D367" s="56"/>
      <c r="E367" s="56"/>
      <c r="F367" s="56"/>
    </row>
    <row r="368">
      <c r="A368" s="56"/>
      <c r="B368" s="57"/>
      <c r="C368" s="56"/>
      <c r="D368" s="56"/>
      <c r="E368" s="56"/>
      <c r="F368" s="56"/>
    </row>
    <row r="369">
      <c r="A369" s="56"/>
      <c r="B369" s="57"/>
      <c r="C369" s="56"/>
      <c r="D369" s="56"/>
      <c r="E369" s="56"/>
      <c r="F369" s="56"/>
    </row>
    <row r="370">
      <c r="A370" s="56"/>
      <c r="B370" s="57"/>
      <c r="C370" s="56"/>
      <c r="D370" s="56"/>
      <c r="E370" s="56"/>
      <c r="F370" s="56"/>
    </row>
    <row r="371">
      <c r="A371" s="56"/>
      <c r="B371" s="57"/>
      <c r="C371" s="56"/>
      <c r="D371" s="56"/>
      <c r="E371" s="56"/>
      <c r="F371" s="56"/>
    </row>
    <row r="372">
      <c r="A372" s="56"/>
      <c r="B372" s="57"/>
      <c r="C372" s="56"/>
      <c r="D372" s="56"/>
      <c r="E372" s="56"/>
      <c r="F372" s="56"/>
    </row>
    <row r="373">
      <c r="A373" s="56"/>
      <c r="B373" s="57"/>
      <c r="C373" s="56"/>
      <c r="D373" s="56"/>
      <c r="E373" s="56"/>
      <c r="F373" s="56"/>
    </row>
    <row r="374">
      <c r="A374" s="56"/>
      <c r="B374" s="57"/>
      <c r="C374" s="56"/>
      <c r="D374" s="56"/>
      <c r="E374" s="56"/>
      <c r="F374" s="56"/>
    </row>
    <row r="375">
      <c r="A375" s="56"/>
      <c r="B375" s="57"/>
      <c r="C375" s="56"/>
      <c r="D375" s="56"/>
      <c r="E375" s="56"/>
      <c r="F375" s="56"/>
    </row>
    <row r="376">
      <c r="A376" s="56"/>
      <c r="B376" s="57"/>
      <c r="C376" s="56"/>
      <c r="D376" s="56"/>
      <c r="E376" s="56"/>
      <c r="F376" s="56"/>
    </row>
    <row r="377">
      <c r="A377" s="56"/>
      <c r="B377" s="57"/>
      <c r="C377" s="56"/>
      <c r="D377" s="56"/>
      <c r="E377" s="56"/>
      <c r="F377" s="56"/>
    </row>
    <row r="378">
      <c r="A378" s="56"/>
      <c r="B378" s="57"/>
      <c r="C378" s="56"/>
      <c r="D378" s="56"/>
      <c r="E378" s="56"/>
      <c r="F378" s="56"/>
    </row>
    <row r="379">
      <c r="A379" s="56"/>
      <c r="B379" s="57"/>
      <c r="C379" s="56"/>
      <c r="D379" s="56"/>
      <c r="E379" s="56"/>
      <c r="F379" s="56"/>
    </row>
    <row r="380">
      <c r="A380" s="56"/>
      <c r="B380" s="57"/>
      <c r="C380" s="56"/>
      <c r="D380" s="56"/>
      <c r="E380" s="56"/>
      <c r="F380" s="56"/>
    </row>
    <row r="381">
      <c r="A381" s="56"/>
      <c r="B381" s="57"/>
      <c r="C381" s="56"/>
      <c r="D381" s="56"/>
      <c r="E381" s="56"/>
      <c r="F381" s="56"/>
    </row>
    <row r="382">
      <c r="A382" s="56"/>
      <c r="B382" s="57"/>
      <c r="C382" s="56"/>
      <c r="D382" s="56"/>
      <c r="E382" s="56"/>
      <c r="F382" s="56"/>
    </row>
    <row r="383">
      <c r="A383" s="56"/>
      <c r="B383" s="57"/>
      <c r="C383" s="56"/>
      <c r="D383" s="56"/>
      <c r="E383" s="56"/>
      <c r="F383" s="56"/>
    </row>
    <row r="384">
      <c r="A384" s="56"/>
      <c r="B384" s="57"/>
      <c r="C384" s="56"/>
      <c r="D384" s="56"/>
      <c r="E384" s="56"/>
      <c r="F384" s="56"/>
    </row>
    <row r="385">
      <c r="A385" s="56"/>
      <c r="B385" s="57"/>
      <c r="C385" s="56"/>
      <c r="D385" s="56"/>
      <c r="E385" s="56"/>
      <c r="F385" s="56"/>
    </row>
    <row r="386">
      <c r="A386" s="56"/>
      <c r="B386" s="57"/>
      <c r="C386" s="56"/>
      <c r="D386" s="56"/>
      <c r="E386" s="56"/>
      <c r="F386" s="56"/>
    </row>
    <row r="387">
      <c r="A387" s="56"/>
      <c r="B387" s="57"/>
      <c r="C387" s="56"/>
      <c r="D387" s="56"/>
      <c r="E387" s="56"/>
      <c r="F387" s="56"/>
    </row>
    <row r="388">
      <c r="A388" s="56"/>
      <c r="B388" s="57"/>
      <c r="C388" s="56"/>
      <c r="D388" s="56"/>
      <c r="E388" s="56"/>
      <c r="F388" s="56"/>
    </row>
    <row r="389">
      <c r="A389" s="56"/>
      <c r="B389" s="57"/>
      <c r="C389" s="56"/>
      <c r="D389" s="56"/>
      <c r="E389" s="56"/>
      <c r="F389" s="56"/>
    </row>
    <row r="390">
      <c r="A390" s="56"/>
      <c r="B390" s="57"/>
      <c r="C390" s="56"/>
      <c r="D390" s="56"/>
      <c r="E390" s="56"/>
      <c r="F390" s="56"/>
    </row>
    <row r="391">
      <c r="A391" s="56"/>
      <c r="B391" s="57"/>
      <c r="C391" s="56"/>
      <c r="D391" s="56"/>
      <c r="E391" s="56"/>
      <c r="F391" s="56"/>
    </row>
    <row r="392">
      <c r="A392" s="56"/>
      <c r="B392" s="57"/>
      <c r="C392" s="56"/>
      <c r="D392" s="56"/>
      <c r="E392" s="56"/>
      <c r="F392" s="56"/>
    </row>
    <row r="393">
      <c r="A393" s="56"/>
      <c r="B393" s="57"/>
      <c r="C393" s="56"/>
      <c r="D393" s="56"/>
      <c r="E393" s="56"/>
      <c r="F393" s="56"/>
    </row>
    <row r="394">
      <c r="A394" s="56"/>
      <c r="B394" s="57"/>
      <c r="C394" s="56"/>
      <c r="D394" s="56"/>
      <c r="E394" s="56"/>
      <c r="F394" s="56"/>
    </row>
    <row r="395">
      <c r="A395" s="56"/>
      <c r="B395" s="57"/>
      <c r="C395" s="56"/>
      <c r="D395" s="56"/>
      <c r="E395" s="56"/>
      <c r="F395" s="56"/>
    </row>
    <row r="396">
      <c r="A396" s="56"/>
      <c r="B396" s="57"/>
      <c r="C396" s="56"/>
      <c r="D396" s="56"/>
      <c r="E396" s="56"/>
      <c r="F396" s="56"/>
    </row>
    <row r="397">
      <c r="A397" s="56"/>
      <c r="B397" s="57"/>
      <c r="C397" s="56"/>
      <c r="D397" s="56"/>
      <c r="E397" s="56"/>
      <c r="F397" s="56"/>
    </row>
    <row r="398">
      <c r="A398" s="56"/>
      <c r="B398" s="57"/>
      <c r="C398" s="56"/>
      <c r="D398" s="56"/>
      <c r="E398" s="56"/>
      <c r="F398" s="56"/>
    </row>
    <row r="399">
      <c r="A399" s="56"/>
      <c r="B399" s="57"/>
      <c r="C399" s="56"/>
      <c r="D399" s="56"/>
      <c r="E399" s="56"/>
      <c r="F399" s="56"/>
    </row>
    <row r="400">
      <c r="A400" s="56"/>
      <c r="B400" s="57"/>
      <c r="C400" s="56"/>
      <c r="D400" s="56"/>
      <c r="E400" s="56"/>
      <c r="F400" s="56"/>
    </row>
    <row r="401">
      <c r="A401" s="56"/>
      <c r="B401" s="57"/>
      <c r="C401" s="56"/>
      <c r="D401" s="56"/>
      <c r="E401" s="56"/>
      <c r="F401" s="56"/>
    </row>
    <row r="402">
      <c r="A402" s="56"/>
      <c r="B402" s="57"/>
      <c r="C402" s="56"/>
      <c r="D402" s="56"/>
      <c r="E402" s="56"/>
      <c r="F402" s="56"/>
    </row>
    <row r="403">
      <c r="A403" s="56"/>
      <c r="B403" s="57"/>
      <c r="C403" s="56"/>
      <c r="D403" s="56"/>
      <c r="E403" s="56"/>
      <c r="F403" s="56"/>
    </row>
    <row r="404">
      <c r="A404" s="56"/>
      <c r="B404" s="57"/>
      <c r="C404" s="56"/>
      <c r="D404" s="56"/>
      <c r="E404" s="56"/>
      <c r="F404" s="56"/>
    </row>
    <row r="405">
      <c r="A405" s="56"/>
      <c r="B405" s="57"/>
      <c r="C405" s="56"/>
      <c r="D405" s="56"/>
      <c r="E405" s="56"/>
      <c r="F405" s="56"/>
    </row>
    <row r="406">
      <c r="A406" s="56"/>
      <c r="B406" s="57"/>
      <c r="C406" s="56"/>
      <c r="D406" s="56"/>
      <c r="E406" s="56"/>
      <c r="F406" s="56"/>
    </row>
    <row r="407">
      <c r="A407" s="56"/>
      <c r="B407" s="57"/>
      <c r="C407" s="56"/>
      <c r="D407" s="56"/>
      <c r="E407" s="56"/>
      <c r="F407" s="56"/>
    </row>
    <row r="408">
      <c r="A408" s="56"/>
      <c r="B408" s="57"/>
      <c r="C408" s="56"/>
      <c r="D408" s="56"/>
      <c r="E408" s="56"/>
      <c r="F408" s="56"/>
    </row>
    <row r="409">
      <c r="A409" s="56"/>
      <c r="B409" s="57"/>
      <c r="C409" s="56"/>
      <c r="D409" s="56"/>
      <c r="E409" s="56"/>
      <c r="F409" s="56"/>
    </row>
    <row r="410">
      <c r="A410" s="56"/>
      <c r="B410" s="57"/>
      <c r="C410" s="56"/>
      <c r="D410" s="56"/>
      <c r="E410" s="56"/>
      <c r="F410" s="56"/>
    </row>
    <row r="411">
      <c r="A411" s="56"/>
      <c r="B411" s="57"/>
      <c r="C411" s="56"/>
      <c r="D411" s="56"/>
      <c r="E411" s="56"/>
      <c r="F411" s="56"/>
    </row>
    <row r="412">
      <c r="A412" s="56"/>
      <c r="B412" s="57"/>
      <c r="C412" s="56"/>
      <c r="D412" s="56"/>
      <c r="E412" s="56"/>
      <c r="F412" s="56"/>
    </row>
    <row r="413">
      <c r="A413" s="56"/>
      <c r="B413" s="57"/>
      <c r="C413" s="56"/>
      <c r="D413" s="56"/>
      <c r="E413" s="56"/>
      <c r="F413" s="56"/>
    </row>
    <row r="414">
      <c r="A414" s="56"/>
      <c r="B414" s="57"/>
      <c r="C414" s="56"/>
      <c r="D414" s="56"/>
      <c r="E414" s="56"/>
      <c r="F414" s="56"/>
    </row>
    <row r="415">
      <c r="A415" s="56"/>
      <c r="B415" s="57"/>
      <c r="C415" s="56"/>
      <c r="D415" s="56"/>
      <c r="E415" s="56"/>
      <c r="F415" s="56"/>
    </row>
    <row r="416">
      <c r="A416" s="56"/>
      <c r="B416" s="57"/>
      <c r="C416" s="56"/>
      <c r="D416" s="56"/>
      <c r="E416" s="56"/>
      <c r="F416" s="56"/>
    </row>
    <row r="417">
      <c r="A417" s="56"/>
      <c r="B417" s="57"/>
      <c r="C417" s="56"/>
      <c r="D417" s="56"/>
      <c r="E417" s="56"/>
      <c r="F417" s="56"/>
    </row>
    <row r="418">
      <c r="A418" s="56"/>
      <c r="B418" s="57"/>
      <c r="C418" s="56"/>
      <c r="D418" s="56"/>
      <c r="E418" s="56"/>
      <c r="F418" s="56"/>
    </row>
    <row r="419">
      <c r="A419" s="56"/>
      <c r="B419" s="57"/>
      <c r="C419" s="56"/>
      <c r="D419" s="56"/>
      <c r="E419" s="56"/>
      <c r="F419" s="56"/>
    </row>
    <row r="420">
      <c r="A420" s="56"/>
      <c r="B420" s="57"/>
      <c r="C420" s="56"/>
      <c r="D420" s="56"/>
      <c r="E420" s="56"/>
      <c r="F420" s="56"/>
    </row>
    <row r="421">
      <c r="A421" s="56"/>
      <c r="B421" s="57"/>
      <c r="C421" s="56"/>
      <c r="D421" s="56"/>
      <c r="E421" s="56"/>
      <c r="F421" s="56"/>
    </row>
    <row r="422">
      <c r="A422" s="56"/>
      <c r="B422" s="57"/>
      <c r="C422" s="56"/>
      <c r="D422" s="56"/>
      <c r="E422" s="56"/>
      <c r="F422" s="56"/>
    </row>
    <row r="423">
      <c r="A423" s="56"/>
      <c r="B423" s="57"/>
      <c r="C423" s="56"/>
      <c r="D423" s="56"/>
      <c r="E423" s="56"/>
      <c r="F423" s="56"/>
    </row>
    <row r="424">
      <c r="A424" s="56"/>
      <c r="B424" s="57"/>
      <c r="C424" s="56"/>
      <c r="D424" s="56"/>
      <c r="E424" s="56"/>
      <c r="F424" s="56"/>
    </row>
    <row r="425">
      <c r="A425" s="56"/>
      <c r="B425" s="57"/>
      <c r="C425" s="56"/>
      <c r="D425" s="56"/>
      <c r="E425" s="56"/>
      <c r="F425" s="56"/>
    </row>
    <row r="426">
      <c r="A426" s="56"/>
      <c r="B426" s="57"/>
      <c r="C426" s="56"/>
      <c r="D426" s="56"/>
      <c r="E426" s="56"/>
      <c r="F426" s="56"/>
    </row>
    <row r="427">
      <c r="A427" s="56"/>
      <c r="B427" s="57"/>
      <c r="C427" s="56"/>
      <c r="D427" s="56"/>
      <c r="E427" s="56"/>
      <c r="F427" s="56"/>
    </row>
    <row r="428">
      <c r="A428" s="56"/>
      <c r="B428" s="57"/>
      <c r="C428" s="56"/>
      <c r="D428" s="56"/>
      <c r="E428" s="56"/>
      <c r="F428" s="56"/>
    </row>
    <row r="429">
      <c r="A429" s="56"/>
      <c r="B429" s="57"/>
      <c r="C429" s="56"/>
      <c r="D429" s="56"/>
      <c r="E429" s="56"/>
      <c r="F429" s="56"/>
    </row>
    <row r="430">
      <c r="A430" s="56"/>
      <c r="B430" s="57"/>
      <c r="C430" s="56"/>
      <c r="D430" s="56"/>
      <c r="E430" s="56"/>
      <c r="F430" s="56"/>
    </row>
    <row r="431">
      <c r="A431" s="56"/>
      <c r="B431" s="57"/>
      <c r="C431" s="56"/>
      <c r="D431" s="56"/>
      <c r="E431" s="56"/>
      <c r="F431" s="56"/>
    </row>
    <row r="432">
      <c r="A432" s="56"/>
      <c r="B432" s="57"/>
      <c r="C432" s="56"/>
      <c r="D432" s="56"/>
      <c r="E432" s="56"/>
      <c r="F432" s="56"/>
    </row>
    <row r="433">
      <c r="A433" s="56"/>
      <c r="B433" s="57"/>
      <c r="C433" s="56"/>
      <c r="D433" s="56"/>
      <c r="E433" s="56"/>
      <c r="F433" s="56"/>
    </row>
    <row r="434">
      <c r="A434" s="56"/>
      <c r="B434" s="57"/>
      <c r="C434" s="56"/>
      <c r="D434" s="56"/>
      <c r="E434" s="56"/>
      <c r="F434" s="56"/>
    </row>
    <row r="435">
      <c r="A435" s="56"/>
      <c r="B435" s="57"/>
      <c r="C435" s="56"/>
      <c r="D435" s="56"/>
      <c r="E435" s="56"/>
      <c r="F435" s="56"/>
    </row>
    <row r="436">
      <c r="A436" s="56"/>
      <c r="B436" s="57"/>
      <c r="C436" s="56"/>
      <c r="D436" s="56"/>
      <c r="E436" s="56"/>
      <c r="F436" s="56"/>
    </row>
    <row r="437">
      <c r="A437" s="56"/>
      <c r="B437" s="57"/>
      <c r="C437" s="56"/>
      <c r="D437" s="56"/>
      <c r="E437" s="56"/>
      <c r="F437" s="56"/>
    </row>
    <row r="438">
      <c r="A438" s="56"/>
      <c r="B438" s="57"/>
      <c r="C438" s="56"/>
      <c r="D438" s="56"/>
      <c r="E438" s="56"/>
      <c r="F438" s="56"/>
    </row>
    <row r="439">
      <c r="A439" s="56"/>
      <c r="B439" s="57"/>
      <c r="C439" s="56"/>
      <c r="D439" s="56"/>
      <c r="E439" s="56"/>
      <c r="F439" s="56"/>
    </row>
    <row r="440">
      <c r="A440" s="56"/>
      <c r="B440" s="57"/>
      <c r="C440" s="56"/>
      <c r="D440" s="56"/>
      <c r="E440" s="56"/>
      <c r="F440" s="56"/>
    </row>
    <row r="441">
      <c r="A441" s="56"/>
      <c r="B441" s="57"/>
      <c r="C441" s="56"/>
      <c r="D441" s="56"/>
      <c r="E441" s="56"/>
      <c r="F441" s="56"/>
    </row>
    <row r="442">
      <c r="A442" s="56"/>
      <c r="B442" s="57"/>
      <c r="C442" s="56"/>
      <c r="D442" s="56"/>
      <c r="E442" s="56"/>
      <c r="F442" s="56"/>
    </row>
    <row r="443">
      <c r="A443" s="56"/>
      <c r="B443" s="57"/>
      <c r="C443" s="56"/>
      <c r="D443" s="56"/>
      <c r="E443" s="56"/>
      <c r="F443" s="56"/>
    </row>
    <row r="444">
      <c r="A444" s="56"/>
      <c r="B444" s="57"/>
      <c r="C444" s="56"/>
      <c r="D444" s="56"/>
      <c r="E444" s="56"/>
      <c r="F444" s="56"/>
    </row>
    <row r="445">
      <c r="A445" s="56"/>
      <c r="B445" s="57"/>
      <c r="C445" s="56"/>
      <c r="D445" s="56"/>
      <c r="E445" s="56"/>
      <c r="F445" s="56"/>
    </row>
    <row r="446">
      <c r="A446" s="56"/>
      <c r="B446" s="57"/>
      <c r="C446" s="56"/>
      <c r="D446" s="56"/>
      <c r="E446" s="56"/>
      <c r="F446" s="56"/>
    </row>
    <row r="447">
      <c r="A447" s="56"/>
      <c r="B447" s="57"/>
      <c r="C447" s="56"/>
      <c r="D447" s="56"/>
      <c r="E447" s="56"/>
      <c r="F447" s="56"/>
    </row>
    <row r="448">
      <c r="A448" s="56"/>
      <c r="B448" s="57"/>
      <c r="C448" s="56"/>
      <c r="D448" s="56"/>
      <c r="E448" s="56"/>
      <c r="F448" s="56"/>
    </row>
    <row r="449">
      <c r="A449" s="56"/>
      <c r="B449" s="57"/>
      <c r="C449" s="56"/>
      <c r="D449" s="56"/>
      <c r="E449" s="56"/>
      <c r="F449" s="56"/>
    </row>
    <row r="450">
      <c r="A450" s="56"/>
      <c r="B450" s="57"/>
      <c r="C450" s="56"/>
      <c r="D450" s="56"/>
      <c r="E450" s="56"/>
      <c r="F450" s="56"/>
    </row>
    <row r="451">
      <c r="A451" s="56"/>
      <c r="B451" s="57"/>
      <c r="C451" s="56"/>
      <c r="D451" s="56"/>
      <c r="E451" s="56"/>
      <c r="F451" s="56"/>
    </row>
    <row r="452">
      <c r="A452" s="56"/>
      <c r="B452" s="57"/>
      <c r="C452" s="56"/>
      <c r="D452" s="56"/>
      <c r="E452" s="56"/>
      <c r="F452" s="56"/>
    </row>
    <row r="453">
      <c r="A453" s="56"/>
      <c r="B453" s="57"/>
      <c r="C453" s="56"/>
      <c r="D453" s="56"/>
      <c r="E453" s="56"/>
      <c r="F453" s="56"/>
    </row>
    <row r="454">
      <c r="A454" s="56"/>
      <c r="B454" s="57"/>
      <c r="C454" s="56"/>
      <c r="D454" s="56"/>
      <c r="E454" s="56"/>
      <c r="F454" s="56"/>
    </row>
    <row r="455">
      <c r="A455" s="56"/>
      <c r="B455" s="57"/>
      <c r="C455" s="56"/>
      <c r="D455" s="56"/>
      <c r="E455" s="56"/>
      <c r="F455" s="56"/>
    </row>
    <row r="456">
      <c r="A456" s="56"/>
      <c r="B456" s="57"/>
      <c r="C456" s="56"/>
      <c r="D456" s="56"/>
      <c r="E456" s="56"/>
      <c r="F456" s="56"/>
    </row>
    <row r="457">
      <c r="A457" s="56"/>
      <c r="B457" s="57"/>
      <c r="C457" s="56"/>
      <c r="D457" s="56"/>
      <c r="E457" s="56"/>
      <c r="F457" s="56"/>
    </row>
    <row r="458">
      <c r="A458" s="56"/>
      <c r="B458" s="57"/>
      <c r="C458" s="56"/>
      <c r="D458" s="56"/>
      <c r="E458" s="56"/>
      <c r="F458" s="56"/>
    </row>
    <row r="459">
      <c r="A459" s="56"/>
      <c r="B459" s="57"/>
      <c r="C459" s="56"/>
      <c r="D459" s="56"/>
      <c r="E459" s="56"/>
      <c r="F459" s="56"/>
    </row>
    <row r="460">
      <c r="A460" s="56"/>
      <c r="B460" s="57"/>
      <c r="C460" s="56"/>
      <c r="D460" s="56"/>
      <c r="E460" s="56"/>
      <c r="F460" s="56"/>
    </row>
    <row r="461">
      <c r="A461" s="56"/>
      <c r="B461" s="57"/>
      <c r="C461" s="56"/>
      <c r="D461" s="56"/>
      <c r="E461" s="56"/>
      <c r="F461" s="56"/>
    </row>
    <row r="462">
      <c r="A462" s="56"/>
      <c r="B462" s="57"/>
      <c r="C462" s="56"/>
      <c r="D462" s="56"/>
      <c r="E462" s="56"/>
      <c r="F462" s="56"/>
    </row>
    <row r="463">
      <c r="A463" s="56"/>
      <c r="B463" s="57"/>
      <c r="C463" s="56"/>
      <c r="D463" s="56"/>
      <c r="E463" s="56"/>
      <c r="F463" s="56"/>
    </row>
    <row r="464">
      <c r="A464" s="56"/>
      <c r="B464" s="57"/>
      <c r="C464" s="56"/>
      <c r="D464" s="56"/>
      <c r="E464" s="56"/>
      <c r="F464" s="56"/>
    </row>
    <row r="465">
      <c r="A465" s="56"/>
      <c r="B465" s="57"/>
      <c r="C465" s="56"/>
      <c r="D465" s="56"/>
      <c r="E465" s="56"/>
      <c r="F465" s="56"/>
    </row>
    <row r="466">
      <c r="A466" s="56"/>
      <c r="B466" s="57"/>
      <c r="C466" s="56"/>
      <c r="D466" s="56"/>
      <c r="E466" s="56"/>
      <c r="F466" s="56"/>
    </row>
    <row r="467">
      <c r="A467" s="56"/>
      <c r="B467" s="57"/>
      <c r="C467" s="56"/>
      <c r="D467" s="56"/>
      <c r="E467" s="56"/>
      <c r="F467" s="56"/>
    </row>
    <row r="468">
      <c r="A468" s="56"/>
      <c r="B468" s="57"/>
      <c r="C468" s="56"/>
      <c r="D468" s="56"/>
      <c r="E468" s="56"/>
      <c r="F468" s="56"/>
    </row>
    <row r="469">
      <c r="A469" s="56"/>
      <c r="B469" s="57"/>
      <c r="C469" s="56"/>
      <c r="D469" s="56"/>
      <c r="E469" s="56"/>
      <c r="F469" s="56"/>
    </row>
    <row r="470">
      <c r="A470" s="56"/>
      <c r="B470" s="57"/>
      <c r="C470" s="56"/>
      <c r="D470" s="56"/>
      <c r="E470" s="56"/>
      <c r="F470" s="56"/>
    </row>
    <row r="471">
      <c r="A471" s="56"/>
      <c r="B471" s="57"/>
      <c r="C471" s="56"/>
      <c r="D471" s="56"/>
      <c r="E471" s="56"/>
      <c r="F471" s="56"/>
    </row>
    <row r="472">
      <c r="A472" s="56"/>
      <c r="B472" s="57"/>
      <c r="C472" s="56"/>
      <c r="D472" s="56"/>
      <c r="E472" s="56"/>
      <c r="F472" s="56"/>
    </row>
    <row r="473">
      <c r="A473" s="56"/>
      <c r="B473" s="57"/>
      <c r="C473" s="56"/>
      <c r="D473" s="56"/>
      <c r="E473" s="56"/>
      <c r="F473" s="56"/>
    </row>
    <row r="474">
      <c r="A474" s="56"/>
      <c r="B474" s="57"/>
      <c r="C474" s="56"/>
      <c r="D474" s="56"/>
      <c r="E474" s="56"/>
      <c r="F474" s="56"/>
    </row>
    <row r="475">
      <c r="A475" s="56"/>
      <c r="B475" s="57"/>
      <c r="C475" s="56"/>
      <c r="D475" s="56"/>
      <c r="E475" s="56"/>
      <c r="F475" s="56"/>
    </row>
    <row r="476">
      <c r="A476" s="56"/>
      <c r="B476" s="57"/>
      <c r="C476" s="56"/>
      <c r="D476" s="56"/>
      <c r="E476" s="56"/>
      <c r="F476" s="56"/>
    </row>
    <row r="477">
      <c r="A477" s="56"/>
      <c r="B477" s="57"/>
      <c r="C477" s="56"/>
      <c r="D477" s="56"/>
      <c r="E477" s="56"/>
      <c r="F477" s="56"/>
    </row>
    <row r="478">
      <c r="A478" s="56"/>
      <c r="B478" s="57"/>
      <c r="C478" s="56"/>
      <c r="D478" s="56"/>
      <c r="E478" s="56"/>
      <c r="F478" s="56"/>
    </row>
    <row r="479">
      <c r="A479" s="56"/>
      <c r="B479" s="57"/>
      <c r="C479" s="56"/>
      <c r="D479" s="56"/>
      <c r="E479" s="56"/>
      <c r="F479" s="56"/>
    </row>
    <row r="480">
      <c r="A480" s="56"/>
      <c r="B480" s="57"/>
      <c r="C480" s="56"/>
      <c r="D480" s="56"/>
      <c r="E480" s="56"/>
      <c r="F480" s="56"/>
    </row>
    <row r="481">
      <c r="A481" s="56"/>
      <c r="B481" s="57"/>
      <c r="C481" s="56"/>
      <c r="D481" s="56"/>
      <c r="E481" s="56"/>
      <c r="F481" s="56"/>
    </row>
    <row r="482">
      <c r="A482" s="56"/>
      <c r="B482" s="57"/>
      <c r="C482" s="56"/>
      <c r="D482" s="56"/>
      <c r="E482" s="56"/>
      <c r="F482" s="56"/>
    </row>
    <row r="483">
      <c r="A483" s="56"/>
      <c r="B483" s="57"/>
      <c r="C483" s="56"/>
      <c r="D483" s="56"/>
      <c r="E483" s="56"/>
      <c r="F483" s="56"/>
    </row>
    <row r="484">
      <c r="A484" s="56"/>
      <c r="B484" s="57"/>
      <c r="C484" s="56"/>
      <c r="D484" s="56"/>
      <c r="E484" s="56"/>
      <c r="F484" s="56"/>
    </row>
    <row r="485">
      <c r="A485" s="56"/>
      <c r="B485" s="57"/>
      <c r="C485" s="56"/>
      <c r="D485" s="56"/>
      <c r="E485" s="56"/>
      <c r="F485" s="56"/>
    </row>
    <row r="486">
      <c r="A486" s="56"/>
      <c r="B486" s="57"/>
      <c r="C486" s="56"/>
      <c r="D486" s="56"/>
      <c r="E486" s="56"/>
      <c r="F486" s="56"/>
    </row>
    <row r="487">
      <c r="A487" s="56"/>
      <c r="B487" s="57"/>
      <c r="C487" s="56"/>
      <c r="D487" s="56"/>
      <c r="E487" s="56"/>
      <c r="F487" s="56"/>
    </row>
    <row r="488">
      <c r="A488" s="56"/>
      <c r="B488" s="57"/>
      <c r="C488" s="56"/>
      <c r="D488" s="56"/>
      <c r="E488" s="56"/>
      <c r="F488" s="56"/>
    </row>
    <row r="489">
      <c r="A489" s="56"/>
      <c r="B489" s="57"/>
      <c r="C489" s="56"/>
      <c r="D489" s="56"/>
      <c r="E489" s="56"/>
      <c r="F489" s="56"/>
    </row>
    <row r="490">
      <c r="A490" s="56"/>
      <c r="B490" s="57"/>
      <c r="C490" s="56"/>
      <c r="D490" s="56"/>
      <c r="E490" s="56"/>
      <c r="F490" s="56"/>
    </row>
    <row r="491">
      <c r="A491" s="56"/>
      <c r="B491" s="57"/>
      <c r="C491" s="56"/>
      <c r="D491" s="56"/>
      <c r="E491" s="56"/>
      <c r="F491" s="56"/>
    </row>
    <row r="492">
      <c r="A492" s="56"/>
      <c r="B492" s="57"/>
      <c r="C492" s="56"/>
      <c r="D492" s="56"/>
      <c r="E492" s="56"/>
      <c r="F492" s="56"/>
    </row>
    <row r="493">
      <c r="A493" s="56"/>
      <c r="B493" s="57"/>
      <c r="C493" s="56"/>
      <c r="D493" s="56"/>
      <c r="E493" s="56"/>
      <c r="F493" s="56"/>
    </row>
    <row r="494">
      <c r="A494" s="56"/>
      <c r="B494" s="57"/>
      <c r="C494" s="56"/>
      <c r="D494" s="56"/>
      <c r="E494" s="56"/>
      <c r="F494" s="56"/>
    </row>
    <row r="495">
      <c r="A495" s="56"/>
      <c r="B495" s="57"/>
      <c r="C495" s="56"/>
      <c r="D495" s="56"/>
      <c r="E495" s="56"/>
      <c r="F495" s="56"/>
    </row>
    <row r="496">
      <c r="A496" s="56"/>
      <c r="B496" s="57"/>
      <c r="C496" s="56"/>
      <c r="D496" s="56"/>
      <c r="E496" s="56"/>
      <c r="F496" s="56"/>
    </row>
    <row r="497">
      <c r="A497" s="56"/>
      <c r="B497" s="57"/>
      <c r="C497" s="56"/>
      <c r="D497" s="56"/>
      <c r="E497" s="56"/>
      <c r="F497" s="56"/>
    </row>
    <row r="498">
      <c r="A498" s="56"/>
      <c r="B498" s="57"/>
      <c r="C498" s="56"/>
      <c r="D498" s="56"/>
      <c r="E498" s="56"/>
      <c r="F498" s="56"/>
    </row>
    <row r="499">
      <c r="A499" s="56"/>
      <c r="B499" s="57"/>
      <c r="C499" s="56"/>
      <c r="D499" s="56"/>
      <c r="E499" s="56"/>
      <c r="F499" s="56"/>
    </row>
    <row r="500">
      <c r="A500" s="56"/>
      <c r="B500" s="57"/>
      <c r="C500" s="56"/>
      <c r="D500" s="56"/>
      <c r="E500" s="56"/>
      <c r="F500" s="56"/>
    </row>
    <row r="501">
      <c r="A501" s="56"/>
      <c r="B501" s="57"/>
      <c r="C501" s="56"/>
      <c r="D501" s="56"/>
      <c r="E501" s="56"/>
      <c r="F501" s="56"/>
    </row>
    <row r="502">
      <c r="A502" s="56"/>
      <c r="B502" s="57"/>
      <c r="C502" s="56"/>
      <c r="D502" s="56"/>
      <c r="E502" s="56"/>
      <c r="F502" s="56"/>
    </row>
    <row r="503">
      <c r="A503" s="56"/>
      <c r="B503" s="57"/>
      <c r="C503" s="56"/>
      <c r="D503" s="56"/>
      <c r="E503" s="56"/>
      <c r="F503" s="56"/>
    </row>
    <row r="504">
      <c r="A504" s="56"/>
      <c r="B504" s="57"/>
      <c r="C504" s="56"/>
      <c r="D504" s="56"/>
      <c r="E504" s="56"/>
      <c r="F504" s="56"/>
    </row>
    <row r="505">
      <c r="A505" s="56"/>
      <c r="B505" s="57"/>
      <c r="C505" s="56"/>
      <c r="D505" s="56"/>
      <c r="E505" s="56"/>
      <c r="F505" s="56"/>
    </row>
    <row r="506">
      <c r="A506" s="56"/>
      <c r="B506" s="57"/>
      <c r="C506" s="56"/>
      <c r="D506" s="56"/>
      <c r="E506" s="56"/>
      <c r="F506" s="56"/>
    </row>
    <row r="507">
      <c r="A507" s="56"/>
      <c r="B507" s="57"/>
      <c r="C507" s="56"/>
      <c r="D507" s="56"/>
      <c r="E507" s="56"/>
      <c r="F507" s="56"/>
    </row>
    <row r="508">
      <c r="A508" s="56"/>
      <c r="B508" s="57"/>
      <c r="C508" s="56"/>
      <c r="D508" s="56"/>
      <c r="E508" s="56"/>
      <c r="F508" s="56"/>
    </row>
    <row r="509">
      <c r="A509" s="56"/>
      <c r="B509" s="57"/>
      <c r="C509" s="56"/>
      <c r="D509" s="56"/>
      <c r="E509" s="56"/>
      <c r="F509" s="56"/>
    </row>
    <row r="510">
      <c r="A510" s="56"/>
      <c r="B510" s="57"/>
      <c r="C510" s="56"/>
      <c r="D510" s="56"/>
      <c r="E510" s="56"/>
      <c r="F510" s="56"/>
    </row>
    <row r="511">
      <c r="A511" s="56"/>
      <c r="B511" s="57"/>
      <c r="C511" s="56"/>
      <c r="D511" s="56"/>
      <c r="E511" s="56"/>
      <c r="F511" s="56"/>
    </row>
    <row r="512">
      <c r="A512" s="56"/>
      <c r="B512" s="57"/>
      <c r="C512" s="56"/>
      <c r="D512" s="56"/>
      <c r="E512" s="56"/>
      <c r="F512" s="56"/>
    </row>
    <row r="513">
      <c r="A513" s="56"/>
      <c r="B513" s="57"/>
      <c r="C513" s="56"/>
      <c r="D513" s="56"/>
      <c r="E513" s="56"/>
      <c r="F513" s="56"/>
    </row>
    <row r="514">
      <c r="A514" s="56"/>
      <c r="B514" s="57"/>
      <c r="C514" s="56"/>
      <c r="D514" s="56"/>
      <c r="E514" s="56"/>
      <c r="F514" s="56"/>
    </row>
    <row r="515">
      <c r="A515" s="56"/>
      <c r="B515" s="57"/>
      <c r="C515" s="56"/>
      <c r="D515" s="56"/>
      <c r="E515" s="56"/>
      <c r="F515" s="56"/>
    </row>
    <row r="516">
      <c r="A516" s="56"/>
      <c r="B516" s="57"/>
      <c r="C516" s="56"/>
      <c r="D516" s="56"/>
      <c r="E516" s="56"/>
      <c r="F516" s="56"/>
    </row>
    <row r="517">
      <c r="A517" s="56"/>
      <c r="B517" s="57"/>
      <c r="C517" s="56"/>
      <c r="D517" s="56"/>
      <c r="E517" s="56"/>
      <c r="F517" s="56"/>
    </row>
    <row r="518">
      <c r="A518" s="56"/>
      <c r="B518" s="57"/>
      <c r="C518" s="56"/>
      <c r="D518" s="56"/>
      <c r="E518" s="56"/>
      <c r="F518" s="56"/>
    </row>
    <row r="519">
      <c r="A519" s="56"/>
      <c r="B519" s="57"/>
      <c r="C519" s="56"/>
      <c r="D519" s="56"/>
      <c r="E519" s="56"/>
      <c r="F519" s="56"/>
    </row>
    <row r="520">
      <c r="A520" s="56"/>
      <c r="B520" s="57"/>
      <c r="C520" s="56"/>
      <c r="D520" s="56"/>
      <c r="E520" s="56"/>
      <c r="F520" s="56"/>
    </row>
    <row r="521">
      <c r="A521" s="56"/>
      <c r="B521" s="57"/>
      <c r="C521" s="56"/>
      <c r="D521" s="56"/>
      <c r="E521" s="56"/>
      <c r="F521" s="56"/>
    </row>
    <row r="522">
      <c r="A522" s="56"/>
      <c r="B522" s="57"/>
      <c r="C522" s="56"/>
      <c r="D522" s="56"/>
      <c r="E522" s="56"/>
      <c r="F522" s="56"/>
    </row>
    <row r="523">
      <c r="A523" s="56"/>
      <c r="B523" s="57"/>
      <c r="C523" s="56"/>
      <c r="D523" s="56"/>
      <c r="E523" s="56"/>
      <c r="F523" s="56"/>
    </row>
    <row r="524">
      <c r="A524" s="56"/>
      <c r="B524" s="57"/>
      <c r="C524" s="56"/>
      <c r="D524" s="56"/>
      <c r="E524" s="56"/>
      <c r="F524" s="56"/>
    </row>
    <row r="525">
      <c r="A525" s="56"/>
      <c r="B525" s="57"/>
      <c r="C525" s="56"/>
      <c r="D525" s="56"/>
      <c r="E525" s="56"/>
      <c r="F525" s="56"/>
    </row>
    <row r="526">
      <c r="A526" s="56"/>
      <c r="B526" s="57"/>
      <c r="C526" s="56"/>
      <c r="D526" s="56"/>
      <c r="E526" s="56"/>
      <c r="F526" s="56"/>
    </row>
    <row r="527">
      <c r="A527" s="56"/>
      <c r="B527" s="57"/>
      <c r="C527" s="56"/>
      <c r="D527" s="56"/>
      <c r="E527" s="56"/>
      <c r="F527" s="56"/>
    </row>
    <row r="528">
      <c r="A528" s="56"/>
      <c r="B528" s="57"/>
      <c r="C528" s="56"/>
      <c r="D528" s="56"/>
      <c r="E528" s="56"/>
      <c r="F528" s="56"/>
    </row>
    <row r="529">
      <c r="A529" s="56"/>
      <c r="B529" s="57"/>
      <c r="C529" s="56"/>
      <c r="D529" s="56"/>
      <c r="E529" s="56"/>
      <c r="F529" s="56"/>
    </row>
    <row r="530">
      <c r="A530" s="56"/>
      <c r="B530" s="57"/>
      <c r="C530" s="56"/>
      <c r="D530" s="56"/>
      <c r="E530" s="56"/>
      <c r="F530" s="56"/>
    </row>
    <row r="531">
      <c r="A531" s="56"/>
      <c r="B531" s="57"/>
      <c r="C531" s="56"/>
      <c r="D531" s="56"/>
      <c r="E531" s="56"/>
      <c r="F531" s="56"/>
    </row>
    <row r="532">
      <c r="A532" s="56"/>
      <c r="B532" s="57"/>
      <c r="C532" s="56"/>
      <c r="D532" s="56"/>
      <c r="E532" s="56"/>
      <c r="F532" s="56"/>
    </row>
    <row r="533">
      <c r="A533" s="56"/>
      <c r="B533" s="57"/>
      <c r="C533" s="56"/>
      <c r="D533" s="56"/>
      <c r="E533" s="56"/>
      <c r="F533" s="56"/>
    </row>
    <row r="534">
      <c r="A534" s="56"/>
      <c r="B534" s="57"/>
      <c r="C534" s="56"/>
      <c r="D534" s="56"/>
      <c r="E534" s="56"/>
      <c r="F534" s="56"/>
    </row>
    <row r="535">
      <c r="A535" s="56"/>
      <c r="B535" s="57"/>
      <c r="C535" s="56"/>
      <c r="D535" s="56"/>
      <c r="E535" s="56"/>
      <c r="F535" s="56"/>
    </row>
    <row r="536">
      <c r="A536" s="56"/>
      <c r="B536" s="57"/>
      <c r="C536" s="56"/>
      <c r="D536" s="56"/>
      <c r="E536" s="56"/>
      <c r="F536" s="56"/>
    </row>
    <row r="537">
      <c r="A537" s="56"/>
      <c r="B537" s="57"/>
      <c r="C537" s="56"/>
      <c r="D537" s="56"/>
      <c r="E537" s="56"/>
      <c r="F537" s="56"/>
    </row>
    <row r="538">
      <c r="A538" s="56"/>
      <c r="B538" s="57"/>
      <c r="C538" s="56"/>
      <c r="D538" s="56"/>
      <c r="E538" s="56"/>
      <c r="F538" s="56"/>
    </row>
    <row r="539">
      <c r="A539" s="56"/>
      <c r="B539" s="57"/>
      <c r="C539" s="56"/>
      <c r="D539" s="56"/>
      <c r="E539" s="56"/>
      <c r="F539" s="56"/>
    </row>
    <row r="540">
      <c r="A540" s="56"/>
      <c r="B540" s="57"/>
      <c r="C540" s="56"/>
      <c r="D540" s="56"/>
      <c r="E540" s="56"/>
      <c r="F540" s="56"/>
    </row>
    <row r="541">
      <c r="A541" s="56"/>
      <c r="B541" s="57"/>
      <c r="C541" s="56"/>
      <c r="D541" s="56"/>
      <c r="E541" s="56"/>
      <c r="F541" s="56"/>
    </row>
    <row r="542">
      <c r="A542" s="56"/>
      <c r="B542" s="57"/>
      <c r="C542" s="56"/>
      <c r="D542" s="56"/>
      <c r="E542" s="56"/>
      <c r="F542" s="56"/>
    </row>
    <row r="543">
      <c r="A543" s="56"/>
      <c r="B543" s="57"/>
      <c r="C543" s="56"/>
      <c r="D543" s="56"/>
      <c r="E543" s="56"/>
      <c r="F543" s="56"/>
    </row>
    <row r="544">
      <c r="A544" s="56"/>
      <c r="B544" s="57"/>
      <c r="C544" s="56"/>
      <c r="D544" s="56"/>
      <c r="E544" s="56"/>
      <c r="F544" s="56"/>
    </row>
    <row r="545">
      <c r="A545" s="56"/>
      <c r="B545" s="57"/>
      <c r="C545" s="56"/>
      <c r="D545" s="56"/>
      <c r="E545" s="56"/>
      <c r="F545" s="56"/>
    </row>
    <row r="546">
      <c r="A546" s="56"/>
      <c r="B546" s="57"/>
      <c r="C546" s="56"/>
      <c r="D546" s="56"/>
      <c r="E546" s="56"/>
      <c r="F546" s="56"/>
    </row>
    <row r="547">
      <c r="A547" s="56"/>
      <c r="B547" s="57"/>
      <c r="C547" s="56"/>
      <c r="D547" s="56"/>
      <c r="E547" s="56"/>
      <c r="F547" s="56"/>
    </row>
    <row r="548">
      <c r="A548" s="56"/>
      <c r="B548" s="57"/>
      <c r="C548" s="56"/>
      <c r="D548" s="56"/>
      <c r="E548" s="56"/>
      <c r="F548" s="56"/>
    </row>
    <row r="549">
      <c r="A549" s="56"/>
      <c r="B549" s="57"/>
      <c r="C549" s="56"/>
      <c r="D549" s="56"/>
      <c r="E549" s="56"/>
      <c r="F549" s="56"/>
    </row>
    <row r="550">
      <c r="A550" s="56"/>
      <c r="B550" s="57"/>
      <c r="C550" s="56"/>
      <c r="D550" s="56"/>
      <c r="E550" s="56"/>
      <c r="F550" s="56"/>
    </row>
    <row r="551">
      <c r="A551" s="56"/>
      <c r="B551" s="57"/>
      <c r="C551" s="56"/>
      <c r="D551" s="56"/>
      <c r="E551" s="56"/>
      <c r="F551" s="56"/>
    </row>
    <row r="552">
      <c r="A552" s="56"/>
      <c r="B552" s="57"/>
      <c r="C552" s="56"/>
      <c r="D552" s="56"/>
      <c r="E552" s="56"/>
      <c r="F552" s="56"/>
    </row>
    <row r="553">
      <c r="A553" s="56"/>
      <c r="B553" s="57"/>
      <c r="C553" s="56"/>
      <c r="D553" s="56"/>
      <c r="E553" s="56"/>
      <c r="F553" s="56"/>
    </row>
    <row r="554">
      <c r="A554" s="56"/>
      <c r="B554" s="57"/>
      <c r="C554" s="56"/>
      <c r="D554" s="56"/>
      <c r="E554" s="56"/>
      <c r="F554" s="56"/>
    </row>
    <row r="555">
      <c r="A555" s="56"/>
      <c r="B555" s="57"/>
      <c r="C555" s="56"/>
      <c r="D555" s="56"/>
      <c r="E555" s="56"/>
      <c r="F555" s="56"/>
    </row>
    <row r="556">
      <c r="A556" s="56"/>
      <c r="B556" s="57"/>
      <c r="C556" s="56"/>
      <c r="D556" s="56"/>
      <c r="E556" s="56"/>
      <c r="F556" s="56"/>
    </row>
    <row r="557">
      <c r="A557" s="56"/>
      <c r="B557" s="57"/>
      <c r="C557" s="56"/>
      <c r="D557" s="56"/>
      <c r="E557" s="56"/>
      <c r="F557" s="56"/>
    </row>
    <row r="558">
      <c r="A558" s="56"/>
      <c r="B558" s="57"/>
      <c r="C558" s="56"/>
      <c r="D558" s="56"/>
      <c r="E558" s="56"/>
      <c r="F558" s="56"/>
    </row>
    <row r="559">
      <c r="A559" s="56"/>
      <c r="B559" s="57"/>
      <c r="C559" s="56"/>
      <c r="D559" s="56"/>
      <c r="E559" s="56"/>
      <c r="F559" s="56"/>
    </row>
    <row r="560">
      <c r="A560" s="56"/>
      <c r="B560" s="57"/>
      <c r="C560" s="56"/>
      <c r="D560" s="56"/>
      <c r="E560" s="56"/>
      <c r="F560" s="56"/>
    </row>
    <row r="561">
      <c r="A561" s="56"/>
      <c r="B561" s="57"/>
      <c r="C561" s="56"/>
      <c r="D561" s="56"/>
      <c r="E561" s="56"/>
      <c r="F561" s="56"/>
    </row>
    <row r="562">
      <c r="A562" s="56"/>
      <c r="B562" s="57"/>
      <c r="C562" s="56"/>
      <c r="D562" s="56"/>
      <c r="E562" s="56"/>
      <c r="F562" s="56"/>
    </row>
    <row r="563">
      <c r="A563" s="56"/>
      <c r="B563" s="57"/>
      <c r="C563" s="56"/>
      <c r="D563" s="56"/>
      <c r="E563" s="56"/>
      <c r="F563" s="56"/>
    </row>
    <row r="564">
      <c r="A564" s="56"/>
      <c r="B564" s="57"/>
      <c r="C564" s="56"/>
      <c r="D564" s="56"/>
      <c r="E564" s="56"/>
      <c r="F564" s="56"/>
    </row>
    <row r="565">
      <c r="A565" s="56"/>
      <c r="B565" s="57"/>
      <c r="C565" s="56"/>
      <c r="D565" s="56"/>
      <c r="E565" s="56"/>
      <c r="F565" s="56"/>
    </row>
    <row r="566">
      <c r="A566" s="56"/>
      <c r="B566" s="57"/>
      <c r="C566" s="56"/>
      <c r="D566" s="56"/>
      <c r="E566" s="56"/>
      <c r="F566" s="56"/>
    </row>
    <row r="567">
      <c r="A567" s="56"/>
      <c r="B567" s="57"/>
      <c r="C567" s="56"/>
      <c r="D567" s="56"/>
      <c r="E567" s="56"/>
      <c r="F567" s="56"/>
    </row>
    <row r="568">
      <c r="A568" s="56"/>
      <c r="B568" s="57"/>
      <c r="C568" s="56"/>
      <c r="D568" s="56"/>
      <c r="E568" s="56"/>
      <c r="F568" s="56"/>
    </row>
    <row r="569">
      <c r="A569" s="56"/>
      <c r="B569" s="57"/>
      <c r="C569" s="56"/>
      <c r="D569" s="56"/>
      <c r="E569" s="56"/>
      <c r="F569" s="56"/>
    </row>
    <row r="570">
      <c r="A570" s="56"/>
      <c r="B570" s="57"/>
      <c r="C570" s="56"/>
      <c r="D570" s="56"/>
      <c r="E570" s="56"/>
      <c r="F570" s="56"/>
    </row>
    <row r="571">
      <c r="A571" s="56"/>
      <c r="B571" s="57"/>
      <c r="C571" s="56"/>
      <c r="D571" s="56"/>
      <c r="E571" s="56"/>
      <c r="F571" s="56"/>
    </row>
    <row r="572">
      <c r="A572" s="56"/>
      <c r="B572" s="57"/>
      <c r="C572" s="56"/>
      <c r="D572" s="56"/>
      <c r="E572" s="56"/>
      <c r="F572" s="56"/>
    </row>
    <row r="573">
      <c r="A573" s="56"/>
      <c r="B573" s="57"/>
      <c r="C573" s="56"/>
      <c r="D573" s="56"/>
      <c r="E573" s="56"/>
      <c r="F573" s="56"/>
    </row>
    <row r="574">
      <c r="A574" s="56"/>
      <c r="B574" s="57"/>
      <c r="C574" s="56"/>
      <c r="D574" s="56"/>
      <c r="E574" s="56"/>
      <c r="F574" s="56"/>
    </row>
    <row r="575">
      <c r="A575" s="56"/>
      <c r="B575" s="57"/>
      <c r="C575" s="56"/>
      <c r="D575" s="56"/>
      <c r="E575" s="56"/>
      <c r="F575" s="56"/>
    </row>
    <row r="576">
      <c r="A576" s="56"/>
      <c r="B576" s="57"/>
      <c r="C576" s="56"/>
      <c r="D576" s="56"/>
      <c r="E576" s="56"/>
      <c r="F576" s="56"/>
    </row>
    <row r="577">
      <c r="A577" s="56"/>
      <c r="B577" s="57"/>
      <c r="C577" s="56"/>
      <c r="D577" s="56"/>
      <c r="E577" s="56"/>
      <c r="F577" s="56"/>
    </row>
    <row r="578">
      <c r="A578" s="56"/>
      <c r="B578" s="57"/>
      <c r="C578" s="56"/>
      <c r="D578" s="56"/>
      <c r="E578" s="56"/>
      <c r="F578" s="56"/>
    </row>
    <row r="579">
      <c r="A579" s="56"/>
      <c r="B579" s="57"/>
      <c r="C579" s="56"/>
      <c r="D579" s="56"/>
      <c r="E579" s="56"/>
      <c r="F579" s="56"/>
    </row>
    <row r="580">
      <c r="A580" s="56"/>
      <c r="B580" s="57"/>
      <c r="C580" s="56"/>
      <c r="D580" s="56"/>
      <c r="E580" s="56"/>
      <c r="F580" s="56"/>
    </row>
    <row r="581">
      <c r="A581" s="56"/>
      <c r="B581" s="57"/>
      <c r="C581" s="56"/>
      <c r="D581" s="56"/>
      <c r="E581" s="56"/>
      <c r="F581" s="56"/>
    </row>
    <row r="582">
      <c r="A582" s="56"/>
      <c r="B582" s="57"/>
      <c r="C582" s="56"/>
      <c r="D582" s="56"/>
      <c r="E582" s="56"/>
      <c r="F582" s="56"/>
    </row>
    <row r="583">
      <c r="A583" s="56"/>
      <c r="B583" s="57"/>
      <c r="C583" s="56"/>
      <c r="D583" s="56"/>
      <c r="E583" s="56"/>
      <c r="F583" s="56"/>
    </row>
    <row r="584">
      <c r="A584" s="56"/>
      <c r="B584" s="57"/>
      <c r="C584" s="56"/>
      <c r="D584" s="56"/>
      <c r="E584" s="56"/>
      <c r="F584" s="56"/>
    </row>
    <row r="585">
      <c r="A585" s="56"/>
      <c r="B585" s="57"/>
      <c r="C585" s="56"/>
      <c r="D585" s="56"/>
      <c r="E585" s="56"/>
      <c r="F585" s="56"/>
    </row>
    <row r="586">
      <c r="A586" s="56"/>
      <c r="B586" s="57"/>
      <c r="C586" s="56"/>
      <c r="D586" s="56"/>
      <c r="E586" s="56"/>
      <c r="F586" s="56"/>
    </row>
    <row r="587">
      <c r="A587" s="56"/>
      <c r="B587" s="57"/>
      <c r="C587" s="56"/>
      <c r="D587" s="56"/>
      <c r="E587" s="56"/>
      <c r="F587" s="56"/>
    </row>
    <row r="588">
      <c r="A588" s="56"/>
      <c r="B588" s="57"/>
      <c r="C588" s="56"/>
      <c r="D588" s="56"/>
      <c r="E588" s="56"/>
      <c r="F588" s="56"/>
    </row>
    <row r="589">
      <c r="A589" s="56"/>
      <c r="B589" s="57"/>
      <c r="C589" s="56"/>
      <c r="D589" s="56"/>
      <c r="E589" s="56"/>
      <c r="F589" s="56"/>
    </row>
    <row r="590">
      <c r="A590" s="56"/>
      <c r="B590" s="57"/>
      <c r="C590" s="56"/>
      <c r="D590" s="56"/>
      <c r="E590" s="56"/>
      <c r="F590" s="56"/>
    </row>
    <row r="591">
      <c r="A591" s="56"/>
      <c r="B591" s="57"/>
      <c r="C591" s="56"/>
      <c r="D591" s="56"/>
      <c r="E591" s="56"/>
      <c r="F591" s="56"/>
    </row>
    <row r="592">
      <c r="A592" s="56"/>
      <c r="B592" s="57"/>
      <c r="C592" s="56"/>
      <c r="D592" s="56"/>
      <c r="E592" s="56"/>
      <c r="F592" s="56"/>
    </row>
    <row r="593">
      <c r="A593" s="56"/>
      <c r="B593" s="57"/>
      <c r="C593" s="56"/>
      <c r="D593" s="56"/>
      <c r="E593" s="56"/>
      <c r="F593" s="56"/>
    </row>
    <row r="594">
      <c r="A594" s="56"/>
      <c r="B594" s="57"/>
      <c r="C594" s="56"/>
      <c r="D594" s="56"/>
      <c r="E594" s="56"/>
      <c r="F594" s="56"/>
    </row>
    <row r="595">
      <c r="A595" s="56"/>
      <c r="B595" s="57"/>
      <c r="C595" s="56"/>
      <c r="D595" s="56"/>
      <c r="E595" s="56"/>
      <c r="F595" s="56"/>
    </row>
    <row r="596">
      <c r="A596" s="56"/>
      <c r="B596" s="57"/>
      <c r="C596" s="56"/>
      <c r="D596" s="56"/>
      <c r="E596" s="56"/>
      <c r="F596" s="56"/>
    </row>
    <row r="597">
      <c r="A597" s="56"/>
      <c r="B597" s="57"/>
      <c r="C597" s="56"/>
      <c r="D597" s="56"/>
      <c r="E597" s="56"/>
      <c r="F597" s="56"/>
    </row>
    <row r="598">
      <c r="A598" s="56"/>
      <c r="B598" s="57"/>
      <c r="C598" s="56"/>
      <c r="D598" s="56"/>
      <c r="E598" s="56"/>
      <c r="F598" s="56"/>
    </row>
    <row r="599">
      <c r="A599" s="56"/>
      <c r="B599" s="57"/>
      <c r="C599" s="56"/>
      <c r="D599" s="56"/>
      <c r="E599" s="56"/>
      <c r="F599" s="56"/>
    </row>
    <row r="600">
      <c r="A600" s="56"/>
      <c r="B600" s="57"/>
      <c r="C600" s="56"/>
      <c r="D600" s="56"/>
      <c r="E600" s="56"/>
      <c r="F600" s="56"/>
    </row>
    <row r="601">
      <c r="A601" s="56"/>
      <c r="B601" s="57"/>
      <c r="C601" s="56"/>
      <c r="D601" s="56"/>
      <c r="E601" s="56"/>
      <c r="F601" s="56"/>
    </row>
    <row r="602">
      <c r="A602" s="56"/>
      <c r="B602" s="57"/>
      <c r="C602" s="56"/>
      <c r="D602" s="56"/>
      <c r="E602" s="56"/>
      <c r="F602" s="56"/>
    </row>
    <row r="603">
      <c r="A603" s="56"/>
      <c r="B603" s="57"/>
      <c r="C603" s="56"/>
      <c r="D603" s="56"/>
      <c r="E603" s="56"/>
      <c r="F603" s="56"/>
    </row>
    <row r="604">
      <c r="A604" s="56"/>
      <c r="B604" s="57"/>
      <c r="C604" s="56"/>
      <c r="D604" s="56"/>
      <c r="E604" s="56"/>
      <c r="F604" s="56"/>
    </row>
    <row r="605">
      <c r="A605" s="56"/>
      <c r="B605" s="57"/>
      <c r="C605" s="56"/>
      <c r="D605" s="56"/>
      <c r="E605" s="56"/>
      <c r="F605" s="56"/>
    </row>
    <row r="606">
      <c r="A606" s="56"/>
      <c r="B606" s="57"/>
      <c r="C606" s="56"/>
      <c r="D606" s="56"/>
      <c r="E606" s="56"/>
      <c r="F606" s="56"/>
    </row>
    <row r="607">
      <c r="A607" s="56"/>
      <c r="B607" s="57"/>
      <c r="C607" s="56"/>
      <c r="D607" s="56"/>
      <c r="E607" s="56"/>
      <c r="F607" s="56"/>
    </row>
    <row r="608">
      <c r="A608" s="56"/>
      <c r="B608" s="57"/>
      <c r="C608" s="56"/>
      <c r="D608" s="56"/>
      <c r="E608" s="56"/>
      <c r="F608" s="56"/>
    </row>
    <row r="609">
      <c r="A609" s="56"/>
      <c r="B609" s="57"/>
      <c r="C609" s="56"/>
      <c r="D609" s="56"/>
      <c r="E609" s="56"/>
      <c r="F609" s="56"/>
    </row>
    <row r="610">
      <c r="A610" s="56"/>
      <c r="B610" s="57"/>
      <c r="C610" s="56"/>
      <c r="D610" s="56"/>
      <c r="E610" s="56"/>
      <c r="F610" s="56"/>
    </row>
    <row r="611">
      <c r="A611" s="56"/>
      <c r="B611" s="57"/>
      <c r="C611" s="56"/>
      <c r="D611" s="56"/>
      <c r="E611" s="56"/>
      <c r="F611" s="56"/>
    </row>
    <row r="612">
      <c r="A612" s="56"/>
      <c r="B612" s="57"/>
      <c r="C612" s="56"/>
      <c r="D612" s="56"/>
      <c r="E612" s="56"/>
      <c r="F612" s="56"/>
    </row>
    <row r="613">
      <c r="A613" s="56"/>
      <c r="B613" s="57"/>
      <c r="C613" s="56"/>
      <c r="D613" s="56"/>
      <c r="E613" s="56"/>
      <c r="F613" s="56"/>
    </row>
    <row r="614">
      <c r="A614" s="56"/>
      <c r="B614" s="57"/>
      <c r="C614" s="56"/>
      <c r="D614" s="56"/>
      <c r="E614" s="56"/>
      <c r="F614" s="56"/>
    </row>
    <row r="615">
      <c r="A615" s="56"/>
      <c r="B615" s="57"/>
      <c r="C615" s="56"/>
      <c r="D615" s="56"/>
      <c r="E615" s="56"/>
      <c r="F615" s="56"/>
    </row>
    <row r="616">
      <c r="A616" s="56"/>
      <c r="B616" s="57"/>
      <c r="C616" s="56"/>
      <c r="D616" s="56"/>
      <c r="E616" s="56"/>
      <c r="F616" s="56"/>
    </row>
    <row r="617">
      <c r="A617" s="56"/>
      <c r="B617" s="57"/>
      <c r="C617" s="56"/>
      <c r="D617" s="56"/>
      <c r="E617" s="56"/>
      <c r="F617" s="56"/>
    </row>
    <row r="618">
      <c r="A618" s="56"/>
      <c r="B618" s="57"/>
      <c r="C618" s="56"/>
      <c r="D618" s="56"/>
      <c r="E618" s="56"/>
      <c r="F618" s="56"/>
    </row>
    <row r="619">
      <c r="A619" s="56"/>
      <c r="B619" s="57"/>
      <c r="C619" s="56"/>
      <c r="D619" s="56"/>
      <c r="E619" s="56"/>
      <c r="F619" s="56"/>
    </row>
    <row r="620">
      <c r="A620" s="56"/>
      <c r="B620" s="57"/>
      <c r="C620" s="56"/>
      <c r="D620" s="56"/>
      <c r="E620" s="56"/>
      <c r="F620" s="56"/>
    </row>
    <row r="621">
      <c r="A621" s="56"/>
      <c r="B621" s="57"/>
      <c r="C621" s="56"/>
      <c r="D621" s="56"/>
      <c r="E621" s="56"/>
      <c r="F621" s="56"/>
    </row>
    <row r="622">
      <c r="A622" s="56"/>
      <c r="B622" s="57"/>
      <c r="C622" s="56"/>
      <c r="D622" s="56"/>
      <c r="E622" s="56"/>
      <c r="F622" s="56"/>
    </row>
    <row r="623">
      <c r="A623" s="56"/>
      <c r="B623" s="57"/>
      <c r="C623" s="56"/>
      <c r="D623" s="56"/>
      <c r="E623" s="56"/>
      <c r="F623" s="56"/>
    </row>
    <row r="624">
      <c r="A624" s="56"/>
      <c r="B624" s="57"/>
      <c r="C624" s="56"/>
      <c r="D624" s="56"/>
      <c r="E624" s="56"/>
      <c r="F624" s="56"/>
    </row>
    <row r="625">
      <c r="A625" s="56"/>
      <c r="B625" s="57"/>
      <c r="C625" s="56"/>
      <c r="D625" s="56"/>
      <c r="E625" s="56"/>
      <c r="F625" s="56"/>
    </row>
    <row r="626">
      <c r="A626" s="56"/>
      <c r="B626" s="57"/>
      <c r="C626" s="56"/>
      <c r="D626" s="56"/>
      <c r="E626" s="56"/>
      <c r="F626" s="56"/>
    </row>
    <row r="627">
      <c r="A627" s="56"/>
      <c r="B627" s="57"/>
      <c r="C627" s="56"/>
      <c r="D627" s="56"/>
      <c r="E627" s="56"/>
      <c r="F627" s="56"/>
    </row>
    <row r="628">
      <c r="A628" s="56"/>
      <c r="B628" s="57"/>
      <c r="C628" s="56"/>
      <c r="D628" s="56"/>
      <c r="E628" s="56"/>
      <c r="F628" s="56"/>
    </row>
    <row r="629">
      <c r="A629" s="56"/>
      <c r="B629" s="57"/>
      <c r="C629" s="56"/>
      <c r="D629" s="56"/>
      <c r="E629" s="56"/>
      <c r="F629" s="56"/>
    </row>
    <row r="630">
      <c r="A630" s="56"/>
      <c r="B630" s="57"/>
      <c r="C630" s="56"/>
      <c r="D630" s="56"/>
      <c r="E630" s="56"/>
      <c r="F630" s="56"/>
    </row>
    <row r="631">
      <c r="A631" s="56"/>
      <c r="B631" s="57"/>
      <c r="C631" s="56"/>
      <c r="D631" s="56"/>
      <c r="E631" s="56"/>
      <c r="F631" s="56"/>
    </row>
    <row r="632">
      <c r="A632" s="56"/>
      <c r="B632" s="57"/>
      <c r="C632" s="56"/>
      <c r="D632" s="56"/>
      <c r="E632" s="56"/>
      <c r="F632" s="56"/>
    </row>
    <row r="633">
      <c r="A633" s="56"/>
      <c r="B633" s="57"/>
      <c r="C633" s="56"/>
      <c r="D633" s="56"/>
      <c r="E633" s="56"/>
      <c r="F633" s="56"/>
    </row>
    <row r="634">
      <c r="A634" s="56"/>
      <c r="B634" s="57"/>
      <c r="C634" s="56"/>
      <c r="D634" s="56"/>
      <c r="E634" s="56"/>
      <c r="F634" s="56"/>
    </row>
    <row r="635">
      <c r="A635" s="56"/>
      <c r="B635" s="57"/>
      <c r="C635" s="56"/>
      <c r="D635" s="56"/>
      <c r="E635" s="56"/>
      <c r="F635" s="56"/>
    </row>
    <row r="636">
      <c r="A636" s="56"/>
      <c r="B636" s="57"/>
      <c r="C636" s="56"/>
      <c r="D636" s="56"/>
      <c r="E636" s="56"/>
      <c r="F636" s="56"/>
    </row>
    <row r="637">
      <c r="A637" s="56"/>
      <c r="B637" s="57"/>
      <c r="C637" s="56"/>
      <c r="D637" s="56"/>
      <c r="E637" s="56"/>
      <c r="F637" s="56"/>
    </row>
    <row r="638">
      <c r="A638" s="56"/>
      <c r="B638" s="57"/>
      <c r="C638" s="56"/>
      <c r="D638" s="56"/>
      <c r="E638" s="56"/>
      <c r="F638" s="56"/>
    </row>
    <row r="639">
      <c r="A639" s="56"/>
      <c r="B639" s="57"/>
      <c r="C639" s="56"/>
      <c r="D639" s="56"/>
      <c r="E639" s="56"/>
      <c r="F639" s="56"/>
    </row>
    <row r="640">
      <c r="A640" s="56"/>
      <c r="B640" s="57"/>
      <c r="C640" s="56"/>
      <c r="D640" s="56"/>
      <c r="E640" s="56"/>
      <c r="F640" s="56"/>
    </row>
    <row r="641">
      <c r="A641" s="56"/>
      <c r="B641" s="57"/>
      <c r="C641" s="56"/>
      <c r="D641" s="56"/>
      <c r="E641" s="56"/>
      <c r="F641" s="56"/>
    </row>
    <row r="642">
      <c r="A642" s="56"/>
      <c r="B642" s="57"/>
      <c r="C642" s="56"/>
      <c r="D642" s="56"/>
      <c r="E642" s="56"/>
      <c r="F642" s="56"/>
    </row>
    <row r="643">
      <c r="A643" s="56"/>
      <c r="B643" s="57"/>
      <c r="C643" s="56"/>
      <c r="D643" s="56"/>
      <c r="E643" s="56"/>
      <c r="F643" s="56"/>
    </row>
    <row r="644">
      <c r="A644" s="56"/>
      <c r="B644" s="57"/>
      <c r="C644" s="56"/>
      <c r="D644" s="56"/>
      <c r="E644" s="56"/>
      <c r="F644" s="56"/>
    </row>
    <row r="645">
      <c r="A645" s="56"/>
      <c r="B645" s="57"/>
      <c r="C645" s="56"/>
      <c r="D645" s="56"/>
      <c r="E645" s="56"/>
      <c r="F645" s="56"/>
    </row>
    <row r="646">
      <c r="A646" s="56"/>
      <c r="B646" s="57"/>
      <c r="C646" s="56"/>
      <c r="D646" s="56"/>
      <c r="E646" s="56"/>
      <c r="F646" s="56"/>
    </row>
    <row r="647">
      <c r="A647" s="56"/>
      <c r="B647" s="57"/>
      <c r="C647" s="56"/>
      <c r="D647" s="56"/>
      <c r="E647" s="56"/>
      <c r="F647" s="56"/>
    </row>
    <row r="648">
      <c r="A648" s="56"/>
      <c r="B648" s="57"/>
      <c r="C648" s="56"/>
      <c r="D648" s="56"/>
      <c r="E648" s="56"/>
      <c r="F648" s="56"/>
    </row>
    <row r="649">
      <c r="A649" s="56"/>
      <c r="B649" s="57"/>
      <c r="C649" s="56"/>
      <c r="D649" s="56"/>
      <c r="E649" s="56"/>
      <c r="F649" s="56"/>
    </row>
    <row r="650">
      <c r="A650" s="56"/>
      <c r="B650" s="57"/>
      <c r="C650" s="56"/>
      <c r="D650" s="56"/>
      <c r="E650" s="56"/>
      <c r="F650" s="56"/>
    </row>
    <row r="651">
      <c r="A651" s="56"/>
      <c r="B651" s="57"/>
      <c r="C651" s="56"/>
      <c r="D651" s="56"/>
      <c r="E651" s="56"/>
      <c r="F651" s="56"/>
    </row>
    <row r="652">
      <c r="A652" s="56"/>
      <c r="B652" s="57"/>
      <c r="C652" s="56"/>
      <c r="D652" s="56"/>
      <c r="E652" s="56"/>
      <c r="F652" s="56"/>
    </row>
    <row r="653">
      <c r="A653" s="56"/>
      <c r="B653" s="57"/>
      <c r="C653" s="56"/>
      <c r="D653" s="56"/>
      <c r="E653" s="56"/>
      <c r="F653" s="56"/>
    </row>
    <row r="654">
      <c r="A654" s="56"/>
      <c r="B654" s="57"/>
      <c r="C654" s="56"/>
      <c r="D654" s="56"/>
      <c r="E654" s="56"/>
      <c r="F654" s="56"/>
    </row>
    <row r="655">
      <c r="A655" s="56"/>
      <c r="B655" s="57"/>
      <c r="C655" s="56"/>
      <c r="D655" s="56"/>
      <c r="E655" s="56"/>
      <c r="F655" s="56"/>
    </row>
    <row r="656">
      <c r="A656" s="56"/>
      <c r="B656" s="57"/>
      <c r="C656" s="56"/>
      <c r="D656" s="56"/>
      <c r="E656" s="56"/>
      <c r="F656" s="56"/>
    </row>
    <row r="657">
      <c r="A657" s="56"/>
      <c r="B657" s="57"/>
      <c r="C657" s="56"/>
      <c r="D657" s="56"/>
      <c r="E657" s="56"/>
      <c r="F657" s="56"/>
    </row>
    <row r="658">
      <c r="A658" s="56"/>
      <c r="B658" s="57"/>
      <c r="C658" s="56"/>
      <c r="D658" s="56"/>
      <c r="E658" s="56"/>
      <c r="F658" s="56"/>
    </row>
    <row r="659">
      <c r="A659" s="56"/>
      <c r="B659" s="57"/>
      <c r="C659" s="56"/>
      <c r="D659" s="56"/>
      <c r="E659" s="56"/>
      <c r="F659" s="56"/>
    </row>
    <row r="660">
      <c r="A660" s="56"/>
      <c r="B660" s="57"/>
      <c r="C660" s="56"/>
      <c r="D660" s="56"/>
      <c r="E660" s="56"/>
      <c r="F660" s="56"/>
    </row>
    <row r="661">
      <c r="A661" s="56"/>
      <c r="B661" s="57"/>
      <c r="C661" s="56"/>
      <c r="D661" s="56"/>
      <c r="E661" s="56"/>
      <c r="F661" s="56"/>
    </row>
    <row r="662">
      <c r="A662" s="56"/>
      <c r="B662" s="57"/>
      <c r="C662" s="56"/>
      <c r="D662" s="56"/>
      <c r="E662" s="56"/>
      <c r="F662" s="56"/>
    </row>
    <row r="663">
      <c r="A663" s="56"/>
      <c r="B663" s="57"/>
      <c r="C663" s="56"/>
      <c r="D663" s="56"/>
      <c r="E663" s="56"/>
      <c r="F663" s="56"/>
    </row>
    <row r="664">
      <c r="A664" s="56"/>
      <c r="B664" s="57"/>
      <c r="C664" s="56"/>
      <c r="D664" s="56"/>
      <c r="E664" s="56"/>
      <c r="F664" s="56"/>
    </row>
    <row r="665">
      <c r="A665" s="56"/>
      <c r="B665" s="57"/>
      <c r="C665" s="56"/>
      <c r="D665" s="56"/>
      <c r="E665" s="56"/>
      <c r="F665" s="56"/>
    </row>
    <row r="666">
      <c r="A666" s="56"/>
      <c r="B666" s="57"/>
      <c r="C666" s="56"/>
      <c r="D666" s="56"/>
      <c r="E666" s="56"/>
      <c r="F666" s="56"/>
    </row>
    <row r="667">
      <c r="A667" s="56"/>
      <c r="B667" s="57"/>
      <c r="C667" s="56"/>
      <c r="D667" s="56"/>
      <c r="E667" s="56"/>
      <c r="F667" s="56"/>
    </row>
    <row r="668">
      <c r="A668" s="56"/>
      <c r="B668" s="57"/>
      <c r="C668" s="56"/>
      <c r="D668" s="56"/>
      <c r="E668" s="56"/>
      <c r="F668" s="56"/>
    </row>
    <row r="669">
      <c r="A669" s="56"/>
      <c r="B669" s="57"/>
      <c r="C669" s="56"/>
      <c r="D669" s="56"/>
      <c r="E669" s="56"/>
      <c r="F669" s="56"/>
    </row>
    <row r="670">
      <c r="A670" s="56"/>
      <c r="B670" s="57"/>
      <c r="C670" s="56"/>
      <c r="D670" s="56"/>
      <c r="E670" s="56"/>
      <c r="F670" s="56"/>
    </row>
    <row r="671">
      <c r="A671" s="56"/>
      <c r="B671" s="57"/>
      <c r="C671" s="56"/>
      <c r="D671" s="56"/>
      <c r="E671" s="56"/>
      <c r="F671" s="56"/>
    </row>
    <row r="672">
      <c r="A672" s="56"/>
      <c r="B672" s="57"/>
      <c r="C672" s="56"/>
      <c r="D672" s="56"/>
      <c r="E672" s="56"/>
      <c r="F672" s="56"/>
    </row>
    <row r="673">
      <c r="A673" s="56"/>
      <c r="B673" s="57"/>
      <c r="C673" s="56"/>
      <c r="D673" s="56"/>
      <c r="E673" s="56"/>
      <c r="F673" s="56"/>
    </row>
    <row r="674">
      <c r="A674" s="56"/>
      <c r="B674" s="57"/>
      <c r="C674" s="56"/>
      <c r="D674" s="56"/>
      <c r="E674" s="56"/>
      <c r="F674" s="56"/>
    </row>
    <row r="675">
      <c r="A675" s="56"/>
      <c r="B675" s="57"/>
      <c r="C675" s="56"/>
      <c r="D675" s="56"/>
      <c r="E675" s="56"/>
      <c r="F675" s="56"/>
    </row>
    <row r="676">
      <c r="A676" s="56"/>
      <c r="B676" s="57"/>
      <c r="C676" s="56"/>
      <c r="D676" s="56"/>
      <c r="E676" s="56"/>
      <c r="F676" s="56"/>
    </row>
    <row r="677">
      <c r="A677" s="56"/>
      <c r="B677" s="57"/>
      <c r="C677" s="56"/>
      <c r="D677" s="56"/>
      <c r="E677" s="56"/>
      <c r="F677" s="56"/>
    </row>
    <row r="678">
      <c r="A678" s="56"/>
      <c r="B678" s="57"/>
      <c r="C678" s="56"/>
      <c r="D678" s="56"/>
      <c r="E678" s="56"/>
      <c r="F678" s="56"/>
    </row>
    <row r="679">
      <c r="A679" s="56"/>
      <c r="B679" s="57"/>
      <c r="C679" s="56"/>
      <c r="D679" s="56"/>
      <c r="E679" s="56"/>
      <c r="F679" s="56"/>
    </row>
    <row r="680">
      <c r="A680" s="56"/>
      <c r="B680" s="57"/>
      <c r="C680" s="56"/>
      <c r="D680" s="56"/>
      <c r="E680" s="56"/>
      <c r="F680" s="56"/>
    </row>
    <row r="681">
      <c r="A681" s="56"/>
      <c r="B681" s="57"/>
      <c r="C681" s="56"/>
      <c r="D681" s="56"/>
      <c r="E681" s="56"/>
      <c r="F681" s="56"/>
    </row>
    <row r="682">
      <c r="A682" s="56"/>
      <c r="B682" s="57"/>
      <c r="C682" s="56"/>
      <c r="D682" s="56"/>
      <c r="E682" s="56"/>
      <c r="F682" s="56"/>
    </row>
    <row r="683">
      <c r="A683" s="56"/>
      <c r="B683" s="57"/>
      <c r="C683" s="56"/>
      <c r="D683" s="56"/>
      <c r="E683" s="56"/>
      <c r="F683" s="56"/>
    </row>
    <row r="684">
      <c r="A684" s="56"/>
      <c r="B684" s="57"/>
      <c r="C684" s="56"/>
      <c r="D684" s="56"/>
      <c r="E684" s="56"/>
      <c r="F684" s="56"/>
    </row>
    <row r="685">
      <c r="A685" s="56"/>
      <c r="B685" s="57"/>
      <c r="C685" s="56"/>
      <c r="D685" s="56"/>
      <c r="E685" s="56"/>
      <c r="F685" s="56"/>
    </row>
    <row r="686">
      <c r="A686" s="56"/>
      <c r="B686" s="57"/>
      <c r="C686" s="56"/>
      <c r="D686" s="56"/>
      <c r="E686" s="56"/>
      <c r="F686" s="56"/>
    </row>
    <row r="687">
      <c r="A687" s="56"/>
      <c r="B687" s="57"/>
      <c r="C687" s="56"/>
      <c r="D687" s="56"/>
      <c r="E687" s="56"/>
      <c r="F687" s="56"/>
    </row>
    <row r="688">
      <c r="A688" s="56"/>
      <c r="B688" s="57"/>
      <c r="C688" s="56"/>
      <c r="D688" s="56"/>
      <c r="E688" s="56"/>
      <c r="F688" s="56"/>
    </row>
    <row r="689">
      <c r="A689" s="56"/>
      <c r="B689" s="57"/>
      <c r="C689" s="56"/>
      <c r="D689" s="56"/>
      <c r="E689" s="56"/>
      <c r="F689" s="56"/>
    </row>
    <row r="690">
      <c r="A690" s="56"/>
      <c r="B690" s="57"/>
      <c r="C690" s="56"/>
      <c r="D690" s="56"/>
      <c r="E690" s="56"/>
      <c r="F690" s="56"/>
    </row>
    <row r="691">
      <c r="A691" s="56"/>
      <c r="B691" s="57"/>
      <c r="C691" s="56"/>
      <c r="D691" s="56"/>
      <c r="E691" s="56"/>
      <c r="F691" s="56"/>
    </row>
    <row r="692">
      <c r="A692" s="56"/>
      <c r="B692" s="57"/>
      <c r="C692" s="56"/>
      <c r="D692" s="56"/>
      <c r="E692" s="56"/>
      <c r="F692" s="56"/>
    </row>
    <row r="693">
      <c r="A693" s="56"/>
      <c r="B693" s="57"/>
      <c r="C693" s="56"/>
      <c r="D693" s="56"/>
      <c r="E693" s="56"/>
      <c r="F693" s="56"/>
    </row>
    <row r="694">
      <c r="A694" s="56"/>
      <c r="B694" s="57"/>
      <c r="C694" s="56"/>
      <c r="D694" s="56"/>
      <c r="E694" s="56"/>
      <c r="F694" s="56"/>
    </row>
    <row r="695">
      <c r="A695" s="56"/>
      <c r="B695" s="57"/>
      <c r="C695" s="56"/>
      <c r="D695" s="56"/>
      <c r="E695" s="56"/>
      <c r="F695" s="56"/>
    </row>
    <row r="696">
      <c r="A696" s="56"/>
      <c r="B696" s="57"/>
      <c r="C696" s="56"/>
      <c r="D696" s="56"/>
      <c r="E696" s="56"/>
      <c r="F696" s="56"/>
    </row>
    <row r="697">
      <c r="A697" s="56"/>
      <c r="B697" s="57"/>
      <c r="C697" s="56"/>
      <c r="D697" s="56"/>
      <c r="E697" s="56"/>
      <c r="F697" s="56"/>
    </row>
    <row r="698">
      <c r="A698" s="56"/>
      <c r="B698" s="57"/>
      <c r="C698" s="56"/>
      <c r="D698" s="56"/>
      <c r="E698" s="56"/>
      <c r="F698" s="56"/>
    </row>
    <row r="699">
      <c r="A699" s="56"/>
      <c r="B699" s="57"/>
      <c r="C699" s="56"/>
      <c r="D699" s="56"/>
      <c r="E699" s="56"/>
      <c r="F699" s="56"/>
    </row>
    <row r="700">
      <c r="A700" s="56"/>
      <c r="B700" s="57"/>
      <c r="C700" s="56"/>
      <c r="D700" s="56"/>
      <c r="E700" s="56"/>
      <c r="F700" s="56"/>
    </row>
    <row r="701">
      <c r="A701" s="56"/>
      <c r="B701" s="57"/>
      <c r="C701" s="56"/>
      <c r="D701" s="56"/>
      <c r="E701" s="56"/>
      <c r="F701" s="56"/>
    </row>
    <row r="702">
      <c r="A702" s="56"/>
      <c r="B702" s="57"/>
      <c r="C702" s="56"/>
      <c r="D702" s="56"/>
      <c r="E702" s="56"/>
      <c r="F702" s="56"/>
    </row>
    <row r="703">
      <c r="A703" s="56"/>
      <c r="B703" s="57"/>
      <c r="C703" s="56"/>
      <c r="D703" s="56"/>
      <c r="E703" s="56"/>
      <c r="F703" s="56"/>
    </row>
    <row r="704">
      <c r="A704" s="56"/>
      <c r="B704" s="57"/>
      <c r="C704" s="56"/>
      <c r="D704" s="56"/>
      <c r="E704" s="56"/>
      <c r="F704" s="56"/>
    </row>
    <row r="705">
      <c r="A705" s="56"/>
      <c r="B705" s="57"/>
      <c r="C705" s="56"/>
      <c r="D705" s="56"/>
      <c r="E705" s="56"/>
      <c r="F705" s="56"/>
    </row>
    <row r="706">
      <c r="A706" s="56"/>
      <c r="B706" s="57"/>
      <c r="C706" s="56"/>
      <c r="D706" s="56"/>
      <c r="E706" s="56"/>
      <c r="F706" s="56"/>
    </row>
    <row r="707">
      <c r="A707" s="56"/>
      <c r="B707" s="57"/>
      <c r="C707" s="56"/>
      <c r="D707" s="56"/>
      <c r="E707" s="56"/>
      <c r="F707" s="56"/>
    </row>
    <row r="708">
      <c r="A708" s="56"/>
      <c r="B708" s="57"/>
      <c r="C708" s="56"/>
      <c r="D708" s="56"/>
      <c r="E708" s="56"/>
      <c r="F708" s="56"/>
    </row>
    <row r="709">
      <c r="A709" s="56"/>
      <c r="B709" s="57"/>
      <c r="C709" s="56"/>
      <c r="D709" s="56"/>
      <c r="E709" s="56"/>
      <c r="F709" s="56"/>
    </row>
    <row r="710">
      <c r="A710" s="56"/>
      <c r="B710" s="57"/>
      <c r="C710" s="56"/>
      <c r="D710" s="56"/>
      <c r="E710" s="56"/>
      <c r="F710" s="56"/>
    </row>
    <row r="711">
      <c r="A711" s="56"/>
      <c r="B711" s="57"/>
      <c r="C711" s="56"/>
      <c r="D711" s="56"/>
      <c r="E711" s="56"/>
      <c r="F711" s="56"/>
    </row>
    <row r="712">
      <c r="A712" s="56"/>
      <c r="B712" s="57"/>
      <c r="C712" s="56"/>
      <c r="D712" s="56"/>
      <c r="E712" s="56"/>
      <c r="F712" s="56"/>
    </row>
    <row r="713">
      <c r="A713" s="56"/>
      <c r="B713" s="57"/>
      <c r="C713" s="56"/>
      <c r="D713" s="56"/>
      <c r="E713" s="56"/>
      <c r="F713" s="56"/>
    </row>
    <row r="714">
      <c r="A714" s="56"/>
      <c r="B714" s="57"/>
      <c r="C714" s="56"/>
      <c r="D714" s="56"/>
      <c r="E714" s="56"/>
      <c r="F714" s="56"/>
    </row>
    <row r="715">
      <c r="A715" s="56"/>
      <c r="B715" s="57"/>
      <c r="C715" s="56"/>
      <c r="D715" s="56"/>
      <c r="E715" s="56"/>
      <c r="F715" s="56"/>
    </row>
    <row r="716">
      <c r="A716" s="56"/>
      <c r="B716" s="57"/>
      <c r="C716" s="56"/>
      <c r="D716" s="56"/>
      <c r="E716" s="56"/>
      <c r="F716" s="56"/>
    </row>
    <row r="717">
      <c r="A717" s="56"/>
      <c r="B717" s="57"/>
      <c r="C717" s="56"/>
      <c r="D717" s="56"/>
      <c r="E717" s="56"/>
      <c r="F717" s="56"/>
    </row>
    <row r="718">
      <c r="A718" s="56"/>
      <c r="B718" s="57"/>
      <c r="C718" s="56"/>
      <c r="D718" s="56"/>
      <c r="E718" s="56"/>
      <c r="F718" s="56"/>
    </row>
    <row r="719">
      <c r="A719" s="56"/>
      <c r="B719" s="57"/>
      <c r="C719" s="56"/>
      <c r="D719" s="56"/>
      <c r="E719" s="56"/>
      <c r="F719" s="56"/>
    </row>
    <row r="720">
      <c r="A720" s="56"/>
      <c r="B720" s="57"/>
      <c r="C720" s="56"/>
      <c r="D720" s="56"/>
      <c r="E720" s="56"/>
      <c r="F720" s="56"/>
    </row>
    <row r="721">
      <c r="A721" s="56"/>
      <c r="B721" s="57"/>
      <c r="C721" s="56"/>
      <c r="D721" s="56"/>
      <c r="E721" s="56"/>
      <c r="F721" s="56"/>
    </row>
    <row r="722">
      <c r="A722" s="56"/>
      <c r="B722" s="57"/>
      <c r="C722" s="56"/>
      <c r="D722" s="56"/>
      <c r="E722" s="56"/>
      <c r="F722" s="56"/>
    </row>
    <row r="723">
      <c r="A723" s="56"/>
      <c r="B723" s="57"/>
      <c r="C723" s="56"/>
      <c r="D723" s="56"/>
      <c r="E723" s="56"/>
      <c r="F723" s="56"/>
    </row>
    <row r="724">
      <c r="A724" s="56"/>
      <c r="B724" s="57"/>
      <c r="C724" s="56"/>
      <c r="D724" s="56"/>
      <c r="E724" s="56"/>
      <c r="F724" s="56"/>
    </row>
    <row r="725">
      <c r="A725" s="56"/>
      <c r="B725" s="57"/>
      <c r="C725" s="56"/>
      <c r="D725" s="56"/>
      <c r="E725" s="56"/>
      <c r="F725" s="56"/>
    </row>
    <row r="726">
      <c r="A726" s="56"/>
      <c r="B726" s="57"/>
      <c r="C726" s="56"/>
      <c r="D726" s="56"/>
      <c r="E726" s="56"/>
      <c r="F726" s="56"/>
    </row>
    <row r="727">
      <c r="A727" s="56"/>
      <c r="B727" s="57"/>
      <c r="C727" s="56"/>
      <c r="D727" s="56"/>
      <c r="E727" s="56"/>
      <c r="F727" s="56"/>
    </row>
    <row r="728">
      <c r="A728" s="56"/>
      <c r="B728" s="57"/>
      <c r="C728" s="56"/>
      <c r="D728" s="56"/>
      <c r="E728" s="56"/>
      <c r="F728" s="56"/>
    </row>
    <row r="729">
      <c r="A729" s="56"/>
      <c r="B729" s="57"/>
      <c r="C729" s="56"/>
      <c r="D729" s="56"/>
      <c r="E729" s="56"/>
      <c r="F729" s="56"/>
    </row>
    <row r="730">
      <c r="A730" s="56"/>
      <c r="B730" s="57"/>
      <c r="C730" s="56"/>
      <c r="D730" s="56"/>
      <c r="E730" s="56"/>
      <c r="F730" s="56"/>
    </row>
    <row r="731">
      <c r="A731" s="56"/>
      <c r="B731" s="57"/>
      <c r="C731" s="56"/>
      <c r="D731" s="56"/>
      <c r="E731" s="56"/>
      <c r="F731" s="56"/>
    </row>
    <row r="732">
      <c r="A732" s="56"/>
      <c r="B732" s="57"/>
      <c r="C732" s="56"/>
      <c r="D732" s="56"/>
      <c r="E732" s="56"/>
      <c r="F732" s="56"/>
    </row>
    <row r="733">
      <c r="A733" s="56"/>
      <c r="B733" s="57"/>
      <c r="C733" s="56"/>
      <c r="D733" s="56"/>
      <c r="E733" s="56"/>
      <c r="F733" s="56"/>
    </row>
    <row r="734">
      <c r="A734" s="56"/>
      <c r="B734" s="57"/>
      <c r="C734" s="56"/>
      <c r="D734" s="56"/>
      <c r="E734" s="56"/>
      <c r="F734" s="56"/>
    </row>
    <row r="735">
      <c r="A735" s="56"/>
      <c r="B735" s="57"/>
      <c r="C735" s="56"/>
      <c r="D735" s="56"/>
      <c r="E735" s="56"/>
      <c r="F735" s="56"/>
    </row>
    <row r="736">
      <c r="A736" s="56"/>
      <c r="B736" s="57"/>
      <c r="C736" s="56"/>
      <c r="D736" s="56"/>
      <c r="E736" s="56"/>
      <c r="F736" s="56"/>
    </row>
    <row r="737">
      <c r="A737" s="56"/>
      <c r="B737" s="57"/>
      <c r="C737" s="56"/>
      <c r="D737" s="56"/>
      <c r="E737" s="56"/>
      <c r="F737" s="56"/>
    </row>
    <row r="738">
      <c r="A738" s="56"/>
      <c r="B738" s="57"/>
      <c r="C738" s="56"/>
      <c r="D738" s="56"/>
      <c r="E738" s="56"/>
      <c r="F738" s="56"/>
    </row>
    <row r="739">
      <c r="A739" s="56"/>
      <c r="B739" s="57"/>
      <c r="C739" s="56"/>
      <c r="D739" s="56"/>
      <c r="E739" s="56"/>
      <c r="F739" s="56"/>
    </row>
    <row r="740">
      <c r="A740" s="56"/>
      <c r="B740" s="57"/>
      <c r="C740" s="56"/>
      <c r="D740" s="56"/>
      <c r="E740" s="56"/>
      <c r="F740" s="56"/>
    </row>
    <row r="741">
      <c r="A741" s="56"/>
      <c r="B741" s="57"/>
      <c r="C741" s="56"/>
      <c r="D741" s="56"/>
      <c r="E741" s="56"/>
      <c r="F741" s="56"/>
    </row>
    <row r="742">
      <c r="A742" s="56"/>
      <c r="B742" s="57"/>
      <c r="C742" s="56"/>
      <c r="D742" s="56"/>
      <c r="E742" s="56"/>
      <c r="F742" s="56"/>
    </row>
    <row r="743">
      <c r="A743" s="56"/>
      <c r="B743" s="57"/>
      <c r="C743" s="56"/>
      <c r="D743" s="56"/>
      <c r="E743" s="56"/>
      <c r="F743" s="56"/>
    </row>
    <row r="744">
      <c r="A744" s="56"/>
      <c r="B744" s="57"/>
      <c r="C744" s="56"/>
      <c r="D744" s="56"/>
      <c r="E744" s="56"/>
      <c r="F744" s="56"/>
    </row>
    <row r="745">
      <c r="A745" s="56"/>
      <c r="B745" s="57"/>
      <c r="C745" s="56"/>
      <c r="D745" s="56"/>
      <c r="E745" s="56"/>
      <c r="F745" s="56"/>
    </row>
    <row r="746">
      <c r="A746" s="56"/>
      <c r="B746" s="57"/>
      <c r="C746" s="56"/>
      <c r="D746" s="56"/>
      <c r="E746" s="56"/>
      <c r="F746" s="56"/>
    </row>
    <row r="747">
      <c r="A747" s="56"/>
      <c r="B747" s="57"/>
      <c r="C747" s="56"/>
      <c r="D747" s="56"/>
      <c r="E747" s="56"/>
      <c r="F747" s="56"/>
    </row>
    <row r="748">
      <c r="A748" s="56"/>
      <c r="B748" s="57"/>
      <c r="C748" s="56"/>
      <c r="D748" s="56"/>
      <c r="E748" s="56"/>
      <c r="F748" s="56"/>
    </row>
    <row r="749">
      <c r="A749" s="56"/>
      <c r="B749" s="57"/>
      <c r="C749" s="56"/>
      <c r="D749" s="56"/>
      <c r="E749" s="56"/>
      <c r="F749" s="56"/>
    </row>
    <row r="750">
      <c r="A750" s="56"/>
      <c r="B750" s="57"/>
      <c r="C750" s="56"/>
      <c r="D750" s="56"/>
      <c r="E750" s="56"/>
      <c r="F750" s="56"/>
    </row>
    <row r="751">
      <c r="A751" s="56"/>
      <c r="B751" s="57"/>
      <c r="C751" s="56"/>
      <c r="D751" s="56"/>
      <c r="E751" s="56"/>
      <c r="F751" s="56"/>
    </row>
    <row r="752">
      <c r="A752" s="56"/>
      <c r="B752" s="57"/>
      <c r="C752" s="56"/>
      <c r="D752" s="56"/>
      <c r="E752" s="56"/>
      <c r="F752" s="56"/>
    </row>
    <row r="753">
      <c r="A753" s="56"/>
      <c r="B753" s="57"/>
      <c r="C753" s="56"/>
      <c r="D753" s="56"/>
      <c r="E753" s="56"/>
      <c r="F753" s="56"/>
    </row>
    <row r="754">
      <c r="A754" s="56"/>
      <c r="B754" s="57"/>
      <c r="C754" s="56"/>
      <c r="D754" s="56"/>
      <c r="E754" s="56"/>
      <c r="F754" s="56"/>
    </row>
    <row r="755">
      <c r="A755" s="56"/>
      <c r="B755" s="57"/>
      <c r="C755" s="56"/>
      <c r="D755" s="56"/>
      <c r="E755" s="56"/>
      <c r="F755" s="56"/>
    </row>
    <row r="756">
      <c r="A756" s="56"/>
      <c r="B756" s="57"/>
      <c r="C756" s="56"/>
      <c r="D756" s="56"/>
      <c r="E756" s="56"/>
      <c r="F756" s="56"/>
    </row>
    <row r="757">
      <c r="A757" s="56"/>
      <c r="B757" s="57"/>
      <c r="C757" s="56"/>
      <c r="D757" s="56"/>
      <c r="E757" s="56"/>
      <c r="F757" s="56"/>
    </row>
    <row r="758">
      <c r="A758" s="56"/>
      <c r="B758" s="57"/>
      <c r="C758" s="56"/>
      <c r="D758" s="56"/>
      <c r="E758" s="56"/>
      <c r="F758" s="56"/>
    </row>
    <row r="759">
      <c r="A759" s="56"/>
      <c r="B759" s="57"/>
      <c r="C759" s="56"/>
      <c r="D759" s="56"/>
      <c r="E759" s="56"/>
      <c r="F759" s="56"/>
    </row>
    <row r="760">
      <c r="A760" s="56"/>
      <c r="B760" s="57"/>
      <c r="C760" s="56"/>
      <c r="D760" s="56"/>
      <c r="E760" s="56"/>
      <c r="F760" s="56"/>
    </row>
    <row r="761">
      <c r="A761" s="56"/>
      <c r="B761" s="57"/>
      <c r="C761" s="56"/>
      <c r="D761" s="56"/>
      <c r="E761" s="56"/>
      <c r="F761" s="56"/>
    </row>
    <row r="762">
      <c r="A762" s="56"/>
      <c r="B762" s="57"/>
      <c r="C762" s="56"/>
      <c r="D762" s="56"/>
      <c r="E762" s="56"/>
      <c r="F762" s="56"/>
    </row>
    <row r="763">
      <c r="A763" s="56"/>
      <c r="B763" s="57"/>
      <c r="C763" s="56"/>
      <c r="D763" s="56"/>
      <c r="E763" s="56"/>
      <c r="F763" s="56"/>
    </row>
    <row r="764">
      <c r="A764" s="56"/>
      <c r="B764" s="57"/>
      <c r="C764" s="56"/>
      <c r="D764" s="56"/>
      <c r="E764" s="56"/>
      <c r="F764" s="56"/>
    </row>
    <row r="765">
      <c r="A765" s="56"/>
      <c r="B765" s="57"/>
      <c r="C765" s="56"/>
      <c r="D765" s="56"/>
      <c r="E765" s="56"/>
      <c r="F765" s="56"/>
    </row>
    <row r="766">
      <c r="A766" s="56"/>
      <c r="B766" s="57"/>
      <c r="C766" s="56"/>
      <c r="D766" s="56"/>
      <c r="E766" s="56"/>
      <c r="F766" s="56"/>
    </row>
    <row r="767">
      <c r="A767" s="56"/>
      <c r="B767" s="57"/>
      <c r="C767" s="56"/>
      <c r="D767" s="56"/>
      <c r="E767" s="56"/>
      <c r="F767" s="56"/>
    </row>
    <row r="768">
      <c r="A768" s="56"/>
      <c r="B768" s="57"/>
      <c r="C768" s="56"/>
      <c r="D768" s="56"/>
      <c r="E768" s="56"/>
      <c r="F768" s="56"/>
    </row>
    <row r="769">
      <c r="A769" s="56"/>
      <c r="B769" s="57"/>
      <c r="C769" s="56"/>
      <c r="D769" s="56"/>
      <c r="E769" s="56"/>
      <c r="F769" s="56"/>
    </row>
    <row r="770">
      <c r="A770" s="56"/>
      <c r="B770" s="57"/>
      <c r="C770" s="56"/>
      <c r="D770" s="56"/>
      <c r="E770" s="56"/>
      <c r="F770" s="56"/>
    </row>
    <row r="771">
      <c r="A771" s="56"/>
      <c r="B771" s="57"/>
      <c r="C771" s="56"/>
      <c r="D771" s="56"/>
      <c r="E771" s="56"/>
      <c r="F771" s="56"/>
    </row>
    <row r="772">
      <c r="A772" s="56"/>
      <c r="B772" s="57"/>
      <c r="C772" s="56"/>
      <c r="D772" s="56"/>
      <c r="E772" s="56"/>
      <c r="F772" s="56"/>
    </row>
    <row r="773">
      <c r="A773" s="56"/>
      <c r="B773" s="57"/>
      <c r="C773" s="56"/>
      <c r="D773" s="56"/>
      <c r="E773" s="56"/>
      <c r="F773" s="56"/>
    </row>
    <row r="774">
      <c r="A774" s="56"/>
      <c r="B774" s="57"/>
      <c r="C774" s="56"/>
      <c r="D774" s="56"/>
      <c r="E774" s="56"/>
      <c r="F774" s="56"/>
    </row>
    <row r="775">
      <c r="A775" s="56"/>
      <c r="B775" s="57"/>
      <c r="C775" s="56"/>
      <c r="D775" s="56"/>
      <c r="E775" s="56"/>
      <c r="F775" s="56"/>
    </row>
    <row r="776">
      <c r="A776" s="56"/>
      <c r="B776" s="57"/>
      <c r="C776" s="56"/>
      <c r="D776" s="56"/>
      <c r="E776" s="56"/>
      <c r="F776" s="56"/>
    </row>
    <row r="777">
      <c r="A777" s="56"/>
      <c r="B777" s="57"/>
      <c r="C777" s="56"/>
      <c r="D777" s="56"/>
      <c r="E777" s="56"/>
      <c r="F777" s="56"/>
    </row>
    <row r="778">
      <c r="A778" s="56"/>
      <c r="B778" s="57"/>
      <c r="C778" s="56"/>
      <c r="D778" s="56"/>
      <c r="E778" s="56"/>
      <c r="F778" s="56"/>
    </row>
    <row r="779">
      <c r="A779" s="56"/>
      <c r="B779" s="57"/>
      <c r="C779" s="56"/>
      <c r="D779" s="56"/>
      <c r="E779" s="56"/>
      <c r="F779" s="56"/>
    </row>
    <row r="780">
      <c r="A780" s="56"/>
      <c r="B780" s="57"/>
      <c r="C780" s="56"/>
      <c r="D780" s="56"/>
      <c r="E780" s="56"/>
      <c r="F780" s="56"/>
    </row>
    <row r="781">
      <c r="A781" s="56"/>
      <c r="B781" s="57"/>
      <c r="C781" s="56"/>
      <c r="D781" s="56"/>
      <c r="E781" s="56"/>
      <c r="F781" s="56"/>
    </row>
    <row r="782">
      <c r="A782" s="56"/>
      <c r="B782" s="57"/>
      <c r="C782" s="56"/>
      <c r="D782" s="56"/>
      <c r="E782" s="56"/>
      <c r="F782" s="56"/>
    </row>
    <row r="783">
      <c r="A783" s="56"/>
      <c r="B783" s="57"/>
      <c r="C783" s="56"/>
      <c r="D783" s="56"/>
      <c r="E783" s="56"/>
      <c r="F783" s="56"/>
    </row>
    <row r="784">
      <c r="A784" s="56"/>
      <c r="B784" s="57"/>
      <c r="C784" s="56"/>
      <c r="D784" s="56"/>
      <c r="E784" s="56"/>
      <c r="F784" s="56"/>
    </row>
    <row r="785">
      <c r="A785" s="56"/>
      <c r="B785" s="57"/>
      <c r="C785" s="56"/>
      <c r="D785" s="56"/>
      <c r="E785" s="56"/>
      <c r="F785" s="56"/>
    </row>
    <row r="786">
      <c r="A786" s="56"/>
      <c r="B786" s="57"/>
      <c r="C786" s="56"/>
      <c r="D786" s="56"/>
      <c r="E786" s="56"/>
      <c r="F786" s="56"/>
    </row>
    <row r="787">
      <c r="A787" s="56"/>
      <c r="B787" s="57"/>
      <c r="C787" s="56"/>
      <c r="D787" s="56"/>
      <c r="E787" s="56"/>
      <c r="F787" s="56"/>
    </row>
    <row r="788">
      <c r="A788" s="56"/>
      <c r="B788" s="57"/>
      <c r="C788" s="56"/>
      <c r="D788" s="56"/>
      <c r="E788" s="56"/>
      <c r="F788" s="56"/>
    </row>
    <row r="789">
      <c r="A789" s="56"/>
      <c r="B789" s="57"/>
      <c r="C789" s="56"/>
      <c r="D789" s="56"/>
      <c r="E789" s="56"/>
      <c r="F789" s="56"/>
    </row>
    <row r="790">
      <c r="A790" s="56"/>
      <c r="B790" s="57"/>
      <c r="C790" s="56"/>
      <c r="D790" s="56"/>
      <c r="E790" s="56"/>
      <c r="F790" s="56"/>
    </row>
    <row r="791">
      <c r="A791" s="56"/>
      <c r="B791" s="57"/>
      <c r="C791" s="56"/>
      <c r="D791" s="56"/>
      <c r="E791" s="56"/>
      <c r="F791" s="56"/>
    </row>
    <row r="792">
      <c r="A792" s="56"/>
      <c r="B792" s="57"/>
      <c r="C792" s="56"/>
      <c r="D792" s="56"/>
      <c r="E792" s="56"/>
      <c r="F792" s="56"/>
    </row>
    <row r="793">
      <c r="A793" s="56"/>
      <c r="B793" s="57"/>
      <c r="C793" s="56"/>
      <c r="D793" s="56"/>
      <c r="E793" s="56"/>
      <c r="F793" s="56"/>
    </row>
    <row r="794">
      <c r="A794" s="56"/>
      <c r="B794" s="57"/>
      <c r="C794" s="56"/>
      <c r="D794" s="56"/>
      <c r="E794" s="56"/>
      <c r="F794" s="56"/>
    </row>
    <row r="795">
      <c r="A795" s="56"/>
      <c r="B795" s="57"/>
      <c r="C795" s="56"/>
      <c r="D795" s="56"/>
      <c r="E795" s="56"/>
      <c r="F795" s="56"/>
    </row>
    <row r="796">
      <c r="A796" s="56"/>
      <c r="B796" s="57"/>
      <c r="C796" s="56"/>
      <c r="D796" s="56"/>
      <c r="E796" s="56"/>
      <c r="F796" s="56"/>
    </row>
    <row r="797">
      <c r="A797" s="56"/>
      <c r="B797" s="57"/>
      <c r="C797" s="56"/>
      <c r="D797" s="56"/>
      <c r="E797" s="56"/>
      <c r="F797" s="56"/>
    </row>
    <row r="798">
      <c r="A798" s="56"/>
      <c r="B798" s="57"/>
      <c r="C798" s="56"/>
      <c r="D798" s="56"/>
      <c r="E798" s="56"/>
      <c r="F798" s="56"/>
    </row>
    <row r="799">
      <c r="A799" s="56"/>
      <c r="B799" s="57"/>
      <c r="C799" s="56"/>
      <c r="D799" s="56"/>
      <c r="E799" s="56"/>
      <c r="F799" s="56"/>
    </row>
    <row r="800">
      <c r="A800" s="56"/>
      <c r="B800" s="57"/>
      <c r="C800" s="56"/>
      <c r="D800" s="56"/>
      <c r="E800" s="56"/>
      <c r="F800" s="56"/>
    </row>
    <row r="801">
      <c r="A801" s="56"/>
      <c r="B801" s="57"/>
      <c r="C801" s="56"/>
      <c r="D801" s="56"/>
      <c r="E801" s="56"/>
      <c r="F801" s="56"/>
    </row>
    <row r="802">
      <c r="A802" s="56"/>
      <c r="B802" s="57"/>
      <c r="C802" s="56"/>
      <c r="D802" s="56"/>
      <c r="E802" s="56"/>
      <c r="F802" s="56"/>
    </row>
    <row r="803">
      <c r="A803" s="56"/>
      <c r="B803" s="57"/>
      <c r="C803" s="56"/>
      <c r="D803" s="56"/>
      <c r="E803" s="56"/>
      <c r="F803" s="56"/>
    </row>
    <row r="804">
      <c r="A804" s="56"/>
      <c r="B804" s="57"/>
      <c r="C804" s="56"/>
      <c r="D804" s="56"/>
      <c r="E804" s="56"/>
      <c r="F804" s="56"/>
    </row>
    <row r="805">
      <c r="A805" s="56"/>
      <c r="B805" s="57"/>
      <c r="C805" s="56"/>
      <c r="D805" s="56"/>
      <c r="E805" s="56"/>
      <c r="F805" s="56"/>
    </row>
    <row r="806">
      <c r="A806" s="56"/>
      <c r="B806" s="57"/>
      <c r="C806" s="56"/>
      <c r="D806" s="56"/>
      <c r="E806" s="56"/>
      <c r="F806" s="56"/>
    </row>
    <row r="807">
      <c r="A807" s="56"/>
      <c r="B807" s="57"/>
      <c r="C807" s="56"/>
      <c r="D807" s="56"/>
      <c r="E807" s="56"/>
      <c r="F807" s="56"/>
    </row>
    <row r="808">
      <c r="A808" s="56"/>
      <c r="B808" s="57"/>
      <c r="C808" s="56"/>
      <c r="D808" s="56"/>
      <c r="E808" s="56"/>
      <c r="F808" s="56"/>
    </row>
    <row r="809">
      <c r="A809" s="56"/>
      <c r="B809" s="57"/>
      <c r="C809" s="56"/>
      <c r="D809" s="56"/>
      <c r="E809" s="56"/>
      <c r="F809" s="56"/>
    </row>
    <row r="810">
      <c r="A810" s="56"/>
      <c r="B810" s="57"/>
      <c r="C810" s="56"/>
      <c r="D810" s="56"/>
      <c r="E810" s="56"/>
      <c r="F810" s="56"/>
    </row>
    <row r="811">
      <c r="A811" s="56"/>
      <c r="B811" s="57"/>
      <c r="C811" s="56"/>
      <c r="D811" s="56"/>
      <c r="E811" s="56"/>
      <c r="F811" s="56"/>
    </row>
    <row r="812">
      <c r="A812" s="56"/>
      <c r="B812" s="57"/>
      <c r="C812" s="56"/>
      <c r="D812" s="56"/>
      <c r="E812" s="56"/>
      <c r="F812" s="56"/>
    </row>
    <row r="813">
      <c r="A813" s="56"/>
      <c r="B813" s="57"/>
      <c r="C813" s="56"/>
      <c r="D813" s="56"/>
      <c r="E813" s="56"/>
      <c r="F813" s="56"/>
    </row>
    <row r="814">
      <c r="A814" s="56"/>
      <c r="B814" s="57"/>
      <c r="C814" s="56"/>
      <c r="D814" s="56"/>
      <c r="E814" s="56"/>
      <c r="F814" s="56"/>
    </row>
    <row r="815">
      <c r="A815" s="56"/>
      <c r="B815" s="57"/>
      <c r="C815" s="56"/>
      <c r="D815" s="56"/>
      <c r="E815" s="56"/>
      <c r="F815" s="56"/>
    </row>
    <row r="816">
      <c r="A816" s="56"/>
      <c r="B816" s="57"/>
      <c r="C816" s="56"/>
      <c r="D816" s="56"/>
      <c r="E816" s="56"/>
      <c r="F816" s="56"/>
    </row>
    <row r="817">
      <c r="A817" s="56"/>
      <c r="B817" s="57"/>
      <c r="C817" s="56"/>
      <c r="D817" s="56"/>
      <c r="E817" s="56"/>
      <c r="F817" s="56"/>
    </row>
    <row r="818">
      <c r="A818" s="56"/>
      <c r="B818" s="57"/>
      <c r="C818" s="56"/>
      <c r="D818" s="56"/>
      <c r="E818" s="56"/>
      <c r="F818" s="56"/>
    </row>
    <row r="819">
      <c r="A819" s="56"/>
      <c r="B819" s="57"/>
      <c r="C819" s="56"/>
      <c r="D819" s="56"/>
      <c r="E819" s="56"/>
      <c r="F819" s="56"/>
    </row>
    <row r="820">
      <c r="A820" s="56"/>
      <c r="B820" s="57"/>
      <c r="C820" s="56"/>
      <c r="D820" s="56"/>
      <c r="E820" s="56"/>
      <c r="F820" s="56"/>
    </row>
    <row r="821">
      <c r="A821" s="56"/>
      <c r="B821" s="57"/>
      <c r="C821" s="56"/>
      <c r="D821" s="56"/>
      <c r="E821" s="56"/>
      <c r="F821" s="56"/>
    </row>
    <row r="822">
      <c r="A822" s="56"/>
      <c r="B822" s="57"/>
      <c r="C822" s="56"/>
      <c r="D822" s="56"/>
      <c r="E822" s="56"/>
      <c r="F822" s="56"/>
    </row>
    <row r="823">
      <c r="A823" s="56"/>
      <c r="B823" s="57"/>
      <c r="C823" s="56"/>
      <c r="D823" s="56"/>
      <c r="E823" s="56"/>
      <c r="F823" s="56"/>
    </row>
    <row r="824">
      <c r="A824" s="56"/>
      <c r="B824" s="57"/>
      <c r="C824" s="56"/>
      <c r="D824" s="56"/>
      <c r="E824" s="56"/>
      <c r="F824" s="56"/>
    </row>
    <row r="825">
      <c r="A825" s="56"/>
      <c r="B825" s="57"/>
      <c r="C825" s="56"/>
      <c r="D825" s="56"/>
      <c r="E825" s="56"/>
      <c r="F825" s="56"/>
    </row>
    <row r="826">
      <c r="A826" s="56"/>
      <c r="B826" s="57"/>
      <c r="C826" s="56"/>
      <c r="D826" s="56"/>
      <c r="E826" s="56"/>
      <c r="F826" s="56"/>
    </row>
    <row r="827">
      <c r="A827" s="56"/>
      <c r="B827" s="57"/>
      <c r="C827" s="56"/>
      <c r="D827" s="56"/>
      <c r="E827" s="56"/>
      <c r="F827" s="56"/>
    </row>
    <row r="828">
      <c r="A828" s="56"/>
      <c r="B828" s="57"/>
      <c r="C828" s="56"/>
      <c r="D828" s="56"/>
      <c r="E828" s="56"/>
      <c r="F828" s="56"/>
    </row>
    <row r="829">
      <c r="A829" s="56"/>
      <c r="B829" s="57"/>
      <c r="C829" s="56"/>
      <c r="D829" s="56"/>
      <c r="E829" s="56"/>
      <c r="F829" s="56"/>
    </row>
    <row r="830">
      <c r="A830" s="56"/>
      <c r="B830" s="57"/>
      <c r="C830" s="56"/>
      <c r="D830" s="56"/>
      <c r="E830" s="56"/>
      <c r="F830" s="56"/>
    </row>
    <row r="831">
      <c r="A831" s="56"/>
      <c r="B831" s="57"/>
      <c r="C831" s="56"/>
      <c r="D831" s="56"/>
      <c r="E831" s="56"/>
      <c r="F831" s="56"/>
    </row>
    <row r="832">
      <c r="A832" s="56"/>
      <c r="B832" s="57"/>
      <c r="C832" s="56"/>
      <c r="D832" s="56"/>
      <c r="E832" s="56"/>
      <c r="F832" s="56"/>
    </row>
    <row r="833">
      <c r="A833" s="56"/>
      <c r="B833" s="57"/>
      <c r="C833" s="56"/>
      <c r="D833" s="56"/>
      <c r="E833" s="56"/>
      <c r="F833" s="56"/>
    </row>
    <row r="834">
      <c r="A834" s="56"/>
      <c r="B834" s="57"/>
      <c r="C834" s="56"/>
      <c r="D834" s="56"/>
      <c r="E834" s="56"/>
      <c r="F834" s="56"/>
    </row>
    <row r="835">
      <c r="A835" s="56"/>
      <c r="B835" s="57"/>
      <c r="C835" s="56"/>
      <c r="D835" s="56"/>
      <c r="E835" s="56"/>
      <c r="F835" s="56"/>
    </row>
    <row r="836">
      <c r="A836" s="56"/>
      <c r="B836" s="57"/>
      <c r="C836" s="56"/>
      <c r="D836" s="56"/>
      <c r="E836" s="56"/>
      <c r="F836" s="56"/>
    </row>
    <row r="837">
      <c r="A837" s="56"/>
      <c r="B837" s="57"/>
      <c r="C837" s="56"/>
      <c r="D837" s="56"/>
      <c r="E837" s="56"/>
      <c r="F837" s="56"/>
    </row>
    <row r="838">
      <c r="A838" s="56"/>
      <c r="B838" s="57"/>
      <c r="C838" s="56"/>
      <c r="D838" s="56"/>
      <c r="E838" s="56"/>
      <c r="F838" s="56"/>
    </row>
    <row r="839">
      <c r="A839" s="56"/>
      <c r="B839" s="57"/>
      <c r="C839" s="56"/>
      <c r="D839" s="56"/>
      <c r="E839" s="56"/>
      <c r="F839" s="56"/>
    </row>
    <row r="840">
      <c r="A840" s="56"/>
      <c r="B840" s="57"/>
      <c r="C840" s="56"/>
      <c r="D840" s="56"/>
      <c r="E840" s="56"/>
      <c r="F840" s="56"/>
    </row>
    <row r="841">
      <c r="A841" s="56"/>
      <c r="B841" s="57"/>
      <c r="C841" s="56"/>
      <c r="D841" s="56"/>
      <c r="E841" s="56"/>
      <c r="F841" s="56"/>
    </row>
    <row r="842">
      <c r="A842" s="56"/>
      <c r="B842" s="57"/>
      <c r="C842" s="56"/>
      <c r="D842" s="56"/>
      <c r="E842" s="56"/>
      <c r="F842" s="56"/>
    </row>
    <row r="843">
      <c r="A843" s="56"/>
      <c r="B843" s="57"/>
      <c r="C843" s="56"/>
      <c r="D843" s="56"/>
      <c r="E843" s="56"/>
      <c r="F843" s="56"/>
    </row>
    <row r="844">
      <c r="A844" s="56"/>
      <c r="B844" s="57"/>
      <c r="C844" s="56"/>
      <c r="D844" s="56"/>
      <c r="E844" s="56"/>
      <c r="F844" s="56"/>
    </row>
    <row r="845">
      <c r="A845" s="56"/>
      <c r="B845" s="57"/>
      <c r="C845" s="56"/>
      <c r="D845" s="56"/>
      <c r="E845" s="56"/>
      <c r="F845" s="56"/>
    </row>
    <row r="846">
      <c r="A846" s="56"/>
      <c r="B846" s="57"/>
      <c r="C846" s="56"/>
      <c r="D846" s="56"/>
      <c r="E846" s="56"/>
      <c r="F846" s="56"/>
    </row>
    <row r="847">
      <c r="A847" s="56"/>
      <c r="B847" s="57"/>
      <c r="C847" s="56"/>
      <c r="D847" s="56"/>
      <c r="E847" s="56"/>
      <c r="F847" s="56"/>
    </row>
    <row r="848">
      <c r="A848" s="56"/>
      <c r="B848" s="57"/>
      <c r="C848" s="56"/>
      <c r="D848" s="56"/>
      <c r="E848" s="56"/>
      <c r="F848" s="56"/>
    </row>
    <row r="849">
      <c r="A849" s="56"/>
      <c r="B849" s="57"/>
      <c r="C849" s="56"/>
      <c r="D849" s="56"/>
      <c r="E849" s="56"/>
      <c r="F849" s="56"/>
    </row>
    <row r="850">
      <c r="A850" s="56"/>
      <c r="B850" s="57"/>
      <c r="C850" s="56"/>
      <c r="D850" s="56"/>
      <c r="E850" s="56"/>
      <c r="F850" s="56"/>
    </row>
    <row r="851">
      <c r="A851" s="56"/>
      <c r="B851" s="57"/>
      <c r="C851" s="56"/>
      <c r="D851" s="56"/>
      <c r="E851" s="56"/>
      <c r="F851" s="56"/>
    </row>
    <row r="852">
      <c r="A852" s="56"/>
      <c r="B852" s="57"/>
      <c r="C852" s="56"/>
      <c r="D852" s="56"/>
      <c r="E852" s="56"/>
      <c r="F852" s="56"/>
    </row>
    <row r="853">
      <c r="A853" s="56"/>
      <c r="B853" s="57"/>
      <c r="C853" s="56"/>
      <c r="D853" s="56"/>
      <c r="E853" s="56"/>
      <c r="F853" s="56"/>
    </row>
    <row r="854">
      <c r="A854" s="56"/>
      <c r="B854" s="57"/>
      <c r="C854" s="56"/>
      <c r="D854" s="56"/>
      <c r="E854" s="56"/>
      <c r="F854" s="56"/>
    </row>
    <row r="855">
      <c r="A855" s="56"/>
      <c r="B855" s="57"/>
      <c r="C855" s="56"/>
      <c r="D855" s="56"/>
      <c r="E855" s="56"/>
      <c r="F855" s="56"/>
    </row>
    <row r="856">
      <c r="A856" s="56"/>
      <c r="B856" s="57"/>
      <c r="C856" s="56"/>
      <c r="D856" s="56"/>
      <c r="E856" s="56"/>
      <c r="F856" s="56"/>
    </row>
    <row r="857">
      <c r="A857" s="56"/>
      <c r="B857" s="57"/>
      <c r="C857" s="56"/>
      <c r="D857" s="56"/>
      <c r="E857" s="56"/>
      <c r="F857" s="56"/>
    </row>
    <row r="858">
      <c r="A858" s="56"/>
      <c r="B858" s="57"/>
      <c r="C858" s="56"/>
      <c r="D858" s="56"/>
      <c r="E858" s="56"/>
      <c r="F858" s="56"/>
    </row>
    <row r="859">
      <c r="A859" s="56"/>
      <c r="B859" s="57"/>
      <c r="C859" s="56"/>
      <c r="D859" s="56"/>
      <c r="E859" s="56"/>
      <c r="F859" s="56"/>
    </row>
    <row r="860">
      <c r="A860" s="56"/>
      <c r="B860" s="57"/>
      <c r="C860" s="56"/>
      <c r="D860" s="56"/>
      <c r="E860" s="56"/>
      <c r="F860" s="56"/>
    </row>
    <row r="861">
      <c r="A861" s="56"/>
      <c r="B861" s="57"/>
      <c r="C861" s="56"/>
      <c r="D861" s="56"/>
      <c r="E861" s="56"/>
      <c r="F861" s="56"/>
    </row>
    <row r="862">
      <c r="A862" s="56"/>
      <c r="B862" s="57"/>
      <c r="C862" s="56"/>
      <c r="D862" s="56"/>
      <c r="E862" s="56"/>
      <c r="F862" s="56"/>
    </row>
    <row r="863">
      <c r="A863" s="56"/>
      <c r="B863" s="57"/>
      <c r="C863" s="56"/>
      <c r="D863" s="56"/>
      <c r="E863" s="56"/>
      <c r="F863" s="56"/>
    </row>
    <row r="864">
      <c r="A864" s="56"/>
      <c r="B864" s="57"/>
      <c r="C864" s="56"/>
      <c r="D864" s="56"/>
      <c r="E864" s="56"/>
      <c r="F864" s="56"/>
    </row>
    <row r="865">
      <c r="A865" s="56"/>
      <c r="B865" s="57"/>
      <c r="C865" s="56"/>
      <c r="D865" s="56"/>
      <c r="E865" s="56"/>
      <c r="F865" s="56"/>
    </row>
    <row r="866">
      <c r="A866" s="56"/>
      <c r="B866" s="57"/>
      <c r="C866" s="56"/>
      <c r="D866" s="56"/>
      <c r="E866" s="56"/>
      <c r="F866" s="56"/>
    </row>
    <row r="867">
      <c r="A867" s="56"/>
      <c r="B867" s="57"/>
      <c r="C867" s="56"/>
      <c r="D867" s="56"/>
      <c r="E867" s="56"/>
      <c r="F867" s="56"/>
    </row>
    <row r="868">
      <c r="A868" s="56"/>
      <c r="B868" s="57"/>
      <c r="C868" s="56"/>
      <c r="D868" s="56"/>
      <c r="E868" s="56"/>
      <c r="F868" s="56"/>
    </row>
    <row r="869">
      <c r="A869" s="56"/>
      <c r="B869" s="57"/>
      <c r="C869" s="56"/>
      <c r="D869" s="56"/>
      <c r="E869" s="56"/>
      <c r="F869" s="56"/>
    </row>
    <row r="870">
      <c r="A870" s="56"/>
      <c r="B870" s="57"/>
      <c r="C870" s="56"/>
      <c r="D870" s="56"/>
      <c r="E870" s="56"/>
      <c r="F870" s="56"/>
    </row>
    <row r="871">
      <c r="A871" s="56"/>
      <c r="B871" s="57"/>
      <c r="C871" s="56"/>
      <c r="D871" s="56"/>
      <c r="E871" s="56"/>
      <c r="F871" s="56"/>
    </row>
    <row r="872">
      <c r="A872" s="56"/>
      <c r="B872" s="57"/>
      <c r="C872" s="56"/>
      <c r="D872" s="56"/>
      <c r="E872" s="56"/>
      <c r="F872" s="56"/>
    </row>
    <row r="873">
      <c r="A873" s="56"/>
      <c r="B873" s="57"/>
      <c r="C873" s="56"/>
      <c r="D873" s="56"/>
      <c r="E873" s="56"/>
      <c r="F873" s="56"/>
    </row>
    <row r="874">
      <c r="A874" s="56"/>
      <c r="B874" s="57"/>
      <c r="C874" s="56"/>
      <c r="D874" s="56"/>
      <c r="E874" s="56"/>
      <c r="F874" s="56"/>
    </row>
    <row r="875">
      <c r="A875" s="56"/>
      <c r="B875" s="57"/>
      <c r="C875" s="56"/>
      <c r="D875" s="56"/>
      <c r="E875" s="56"/>
      <c r="F875" s="56"/>
    </row>
    <row r="876">
      <c r="A876" s="56"/>
      <c r="B876" s="57"/>
      <c r="C876" s="56"/>
      <c r="D876" s="56"/>
      <c r="E876" s="56"/>
      <c r="F876" s="56"/>
    </row>
    <row r="877">
      <c r="A877" s="56"/>
      <c r="B877" s="57"/>
      <c r="C877" s="56"/>
      <c r="D877" s="56"/>
      <c r="E877" s="56"/>
      <c r="F877" s="56"/>
    </row>
    <row r="878">
      <c r="A878" s="56"/>
      <c r="B878" s="57"/>
      <c r="C878" s="56"/>
      <c r="D878" s="56"/>
      <c r="E878" s="56"/>
      <c r="F878" s="56"/>
    </row>
    <row r="879">
      <c r="A879" s="56"/>
      <c r="B879" s="57"/>
      <c r="C879" s="56"/>
      <c r="D879" s="56"/>
      <c r="E879" s="56"/>
      <c r="F879" s="56"/>
    </row>
    <row r="880">
      <c r="A880" s="56"/>
      <c r="B880" s="57"/>
      <c r="C880" s="56"/>
      <c r="D880" s="56"/>
      <c r="E880" s="56"/>
      <c r="F880" s="56"/>
    </row>
    <row r="881">
      <c r="A881" s="56"/>
      <c r="B881" s="57"/>
      <c r="C881" s="56"/>
      <c r="D881" s="56"/>
      <c r="E881" s="56"/>
      <c r="F881" s="56"/>
    </row>
    <row r="882">
      <c r="A882" s="56"/>
      <c r="B882" s="57"/>
      <c r="C882" s="56"/>
      <c r="D882" s="56"/>
      <c r="E882" s="56"/>
      <c r="F882" s="56"/>
    </row>
    <row r="883">
      <c r="A883" s="56"/>
      <c r="B883" s="57"/>
      <c r="C883" s="56"/>
      <c r="D883" s="56"/>
      <c r="E883" s="56"/>
      <c r="F883" s="56"/>
    </row>
    <row r="884">
      <c r="A884" s="56"/>
      <c r="B884" s="57"/>
      <c r="C884" s="56"/>
      <c r="D884" s="56"/>
      <c r="E884" s="56"/>
      <c r="F884" s="56"/>
    </row>
    <row r="885">
      <c r="A885" s="56"/>
      <c r="B885" s="57"/>
      <c r="C885" s="56"/>
      <c r="D885" s="56"/>
      <c r="E885" s="56"/>
      <c r="F885" s="56"/>
    </row>
    <row r="886">
      <c r="A886" s="56"/>
      <c r="B886" s="57"/>
      <c r="C886" s="56"/>
      <c r="D886" s="56"/>
      <c r="E886" s="56"/>
      <c r="F886" s="56"/>
    </row>
    <row r="887">
      <c r="A887" s="56"/>
      <c r="B887" s="57"/>
      <c r="C887" s="56"/>
      <c r="D887" s="56"/>
      <c r="E887" s="56"/>
      <c r="F887" s="56"/>
    </row>
    <row r="888">
      <c r="A888" s="56"/>
      <c r="B888" s="57"/>
      <c r="C888" s="56"/>
      <c r="D888" s="56"/>
      <c r="E888" s="56"/>
      <c r="F888" s="56"/>
    </row>
    <row r="889">
      <c r="A889" s="56"/>
      <c r="B889" s="57"/>
      <c r="C889" s="56"/>
      <c r="D889" s="56"/>
      <c r="E889" s="56"/>
      <c r="F889" s="56"/>
    </row>
    <row r="890">
      <c r="A890" s="56"/>
      <c r="B890" s="57"/>
      <c r="C890" s="56"/>
      <c r="D890" s="56"/>
      <c r="E890" s="56"/>
      <c r="F890" s="56"/>
    </row>
    <row r="891">
      <c r="A891" s="56"/>
      <c r="B891" s="57"/>
      <c r="C891" s="56"/>
      <c r="D891" s="56"/>
      <c r="E891" s="56"/>
      <c r="F891" s="56"/>
    </row>
    <row r="892">
      <c r="A892" s="56"/>
      <c r="B892" s="57"/>
      <c r="C892" s="56"/>
      <c r="D892" s="56"/>
      <c r="E892" s="56"/>
      <c r="F892" s="56"/>
    </row>
    <row r="893">
      <c r="A893" s="56"/>
      <c r="B893" s="57"/>
      <c r="C893" s="56"/>
      <c r="D893" s="56"/>
      <c r="E893" s="56"/>
      <c r="F893" s="56"/>
    </row>
    <row r="894">
      <c r="A894" s="56"/>
      <c r="B894" s="57"/>
      <c r="C894" s="56"/>
      <c r="D894" s="56"/>
      <c r="E894" s="56"/>
      <c r="F894" s="56"/>
    </row>
    <row r="895">
      <c r="A895" s="56"/>
      <c r="B895" s="57"/>
      <c r="C895" s="56"/>
      <c r="D895" s="56"/>
      <c r="E895" s="56"/>
      <c r="F895" s="56"/>
    </row>
    <row r="896">
      <c r="A896" s="56"/>
      <c r="B896" s="57"/>
      <c r="C896" s="56"/>
      <c r="D896" s="56"/>
      <c r="E896" s="56"/>
      <c r="F896" s="56"/>
    </row>
    <row r="897">
      <c r="A897" s="56"/>
      <c r="B897" s="57"/>
      <c r="C897" s="56"/>
      <c r="D897" s="56"/>
      <c r="E897" s="56"/>
      <c r="F897" s="56"/>
    </row>
    <row r="898">
      <c r="A898" s="56"/>
      <c r="B898" s="57"/>
      <c r="C898" s="56"/>
      <c r="D898" s="56"/>
      <c r="E898" s="56"/>
      <c r="F898" s="56"/>
    </row>
    <row r="899">
      <c r="A899" s="56"/>
      <c r="B899" s="57"/>
      <c r="C899" s="56"/>
      <c r="D899" s="56"/>
      <c r="E899" s="56"/>
      <c r="F899" s="56"/>
    </row>
    <row r="900">
      <c r="A900" s="56"/>
      <c r="B900" s="57"/>
      <c r="C900" s="56"/>
      <c r="D900" s="56"/>
      <c r="E900" s="56"/>
      <c r="F900" s="56"/>
    </row>
    <row r="901">
      <c r="A901" s="56"/>
      <c r="B901" s="57"/>
      <c r="C901" s="56"/>
      <c r="D901" s="56"/>
      <c r="E901" s="56"/>
      <c r="F901" s="56"/>
    </row>
    <row r="902">
      <c r="A902" s="56"/>
      <c r="B902" s="57"/>
      <c r="C902" s="56"/>
      <c r="D902" s="56"/>
      <c r="E902" s="56"/>
      <c r="F902" s="56"/>
    </row>
    <row r="903">
      <c r="A903" s="56"/>
      <c r="B903" s="57"/>
      <c r="C903" s="56"/>
      <c r="D903" s="56"/>
      <c r="E903" s="56"/>
      <c r="F903" s="56"/>
    </row>
    <row r="904">
      <c r="A904" s="56"/>
      <c r="B904" s="57"/>
      <c r="C904" s="56"/>
      <c r="D904" s="56"/>
      <c r="E904" s="56"/>
      <c r="F904" s="56"/>
    </row>
    <row r="905">
      <c r="A905" s="56"/>
      <c r="B905" s="57"/>
      <c r="C905" s="56"/>
      <c r="D905" s="56"/>
      <c r="E905" s="56"/>
      <c r="F905" s="56"/>
    </row>
    <row r="906">
      <c r="A906" s="56"/>
      <c r="B906" s="57"/>
      <c r="C906" s="56"/>
      <c r="D906" s="56"/>
      <c r="E906" s="56"/>
      <c r="F906" s="56"/>
    </row>
    <row r="907">
      <c r="A907" s="56"/>
      <c r="B907" s="57"/>
      <c r="C907" s="56"/>
      <c r="D907" s="56"/>
      <c r="E907" s="56"/>
      <c r="F907" s="56"/>
    </row>
    <row r="908">
      <c r="A908" s="56"/>
      <c r="B908" s="57"/>
      <c r="C908" s="56"/>
      <c r="D908" s="56"/>
      <c r="E908" s="56"/>
      <c r="F908" s="56"/>
    </row>
    <row r="909">
      <c r="A909" s="56"/>
      <c r="B909" s="57"/>
      <c r="C909" s="56"/>
      <c r="D909" s="56"/>
      <c r="E909" s="56"/>
      <c r="F909" s="56"/>
    </row>
    <row r="910">
      <c r="A910" s="56"/>
      <c r="B910" s="57"/>
      <c r="C910" s="56"/>
      <c r="D910" s="56"/>
      <c r="E910" s="56"/>
      <c r="F910" s="56"/>
    </row>
    <row r="911">
      <c r="A911" s="56"/>
      <c r="B911" s="57"/>
      <c r="C911" s="56"/>
      <c r="D911" s="56"/>
      <c r="E911" s="56"/>
      <c r="F911" s="56"/>
    </row>
    <row r="912">
      <c r="A912" s="56"/>
      <c r="B912" s="57"/>
      <c r="C912" s="56"/>
      <c r="D912" s="56"/>
      <c r="E912" s="56"/>
      <c r="F912" s="56"/>
    </row>
    <row r="913">
      <c r="A913" s="56"/>
      <c r="B913" s="57"/>
      <c r="C913" s="56"/>
      <c r="D913" s="56"/>
      <c r="E913" s="56"/>
      <c r="F913" s="56"/>
    </row>
    <row r="914">
      <c r="A914" s="56"/>
      <c r="B914" s="57"/>
      <c r="C914" s="56"/>
      <c r="D914" s="56"/>
      <c r="E914" s="56"/>
      <c r="F914" s="56"/>
    </row>
    <row r="915">
      <c r="A915" s="56"/>
      <c r="B915" s="57"/>
      <c r="C915" s="56"/>
      <c r="D915" s="56"/>
      <c r="E915" s="56"/>
      <c r="F915" s="56"/>
    </row>
    <row r="916">
      <c r="A916" s="56"/>
      <c r="B916" s="57"/>
      <c r="C916" s="56"/>
      <c r="D916" s="56"/>
      <c r="E916" s="56"/>
      <c r="F916" s="56"/>
    </row>
    <row r="917">
      <c r="A917" s="56"/>
      <c r="B917" s="57"/>
      <c r="C917" s="56"/>
      <c r="D917" s="56"/>
      <c r="E917" s="56"/>
      <c r="F917" s="56"/>
    </row>
    <row r="918">
      <c r="A918" s="56"/>
      <c r="B918" s="57"/>
      <c r="C918" s="56"/>
      <c r="D918" s="56"/>
      <c r="E918" s="56"/>
      <c r="F918" s="56"/>
    </row>
    <row r="919">
      <c r="A919" s="56"/>
      <c r="B919" s="57"/>
      <c r="C919" s="56"/>
      <c r="D919" s="56"/>
      <c r="E919" s="56"/>
      <c r="F919" s="56"/>
    </row>
    <row r="920">
      <c r="A920" s="56"/>
      <c r="B920" s="57"/>
      <c r="C920" s="56"/>
      <c r="D920" s="56"/>
      <c r="E920" s="56"/>
      <c r="F920" s="56"/>
    </row>
    <row r="921">
      <c r="A921" s="56"/>
      <c r="B921" s="57"/>
      <c r="C921" s="56"/>
      <c r="D921" s="56"/>
      <c r="E921" s="56"/>
      <c r="F921" s="56"/>
    </row>
    <row r="922">
      <c r="A922" s="56"/>
      <c r="B922" s="57"/>
      <c r="C922" s="56"/>
      <c r="D922" s="56"/>
      <c r="E922" s="56"/>
      <c r="F922" s="56"/>
    </row>
    <row r="923">
      <c r="A923" s="56"/>
      <c r="B923" s="57"/>
      <c r="C923" s="56"/>
      <c r="D923" s="56"/>
      <c r="E923" s="56"/>
      <c r="F923" s="56"/>
    </row>
    <row r="924">
      <c r="A924" s="56"/>
      <c r="B924" s="57"/>
      <c r="C924" s="56"/>
      <c r="D924" s="56"/>
      <c r="E924" s="56"/>
      <c r="F924" s="56"/>
    </row>
    <row r="925">
      <c r="A925" s="56"/>
      <c r="B925" s="57"/>
      <c r="C925" s="56"/>
      <c r="D925" s="56"/>
      <c r="E925" s="56"/>
      <c r="F925" s="56"/>
    </row>
    <row r="926">
      <c r="A926" s="56"/>
      <c r="B926" s="57"/>
      <c r="C926" s="56"/>
      <c r="D926" s="56"/>
      <c r="E926" s="56"/>
      <c r="F926" s="56"/>
    </row>
    <row r="927">
      <c r="A927" s="56"/>
      <c r="B927" s="57"/>
      <c r="C927" s="56"/>
      <c r="D927" s="56"/>
      <c r="E927" s="56"/>
      <c r="F927" s="56"/>
    </row>
    <row r="928">
      <c r="A928" s="56"/>
      <c r="B928" s="57"/>
      <c r="C928" s="56"/>
      <c r="D928" s="56"/>
      <c r="E928" s="56"/>
      <c r="F928" s="56"/>
    </row>
    <row r="929">
      <c r="A929" s="56"/>
      <c r="B929" s="57"/>
      <c r="C929" s="56"/>
      <c r="D929" s="56"/>
      <c r="E929" s="56"/>
      <c r="F929" s="56"/>
    </row>
    <row r="930">
      <c r="A930" s="56"/>
      <c r="B930" s="57"/>
      <c r="C930" s="56"/>
      <c r="D930" s="56"/>
      <c r="E930" s="56"/>
      <c r="F930" s="56"/>
    </row>
    <row r="931">
      <c r="A931" s="56"/>
      <c r="B931" s="57"/>
      <c r="C931" s="56"/>
      <c r="D931" s="56"/>
      <c r="E931" s="56"/>
      <c r="F931" s="56"/>
    </row>
    <row r="932">
      <c r="A932" s="56"/>
      <c r="B932" s="57"/>
      <c r="C932" s="56"/>
      <c r="D932" s="56"/>
      <c r="E932" s="56"/>
      <c r="F932" s="56"/>
    </row>
    <row r="933">
      <c r="A933" s="56"/>
      <c r="B933" s="57"/>
      <c r="C933" s="56"/>
      <c r="D933" s="56"/>
      <c r="E933" s="56"/>
      <c r="F933" s="56"/>
    </row>
    <row r="934">
      <c r="A934" s="56"/>
      <c r="B934" s="57"/>
      <c r="C934" s="56"/>
      <c r="D934" s="56"/>
      <c r="E934" s="56"/>
      <c r="F934" s="56"/>
    </row>
    <row r="935">
      <c r="A935" s="56"/>
      <c r="B935" s="57"/>
      <c r="C935" s="56"/>
      <c r="D935" s="56"/>
      <c r="E935" s="56"/>
      <c r="F935" s="56"/>
    </row>
    <row r="936">
      <c r="A936" s="56"/>
      <c r="B936" s="57"/>
      <c r="C936" s="56"/>
      <c r="D936" s="56"/>
      <c r="E936" s="56"/>
      <c r="F936" s="56"/>
    </row>
    <row r="937">
      <c r="A937" s="56"/>
      <c r="B937" s="57"/>
      <c r="C937" s="56"/>
      <c r="D937" s="56"/>
      <c r="E937" s="56"/>
      <c r="F937" s="56"/>
    </row>
    <row r="938">
      <c r="A938" s="56"/>
      <c r="B938" s="57"/>
      <c r="C938" s="56"/>
      <c r="D938" s="56"/>
      <c r="E938" s="56"/>
      <c r="F938" s="56"/>
    </row>
    <row r="939">
      <c r="A939" s="56"/>
      <c r="B939" s="57"/>
      <c r="C939" s="56"/>
      <c r="D939" s="56"/>
      <c r="E939" s="56"/>
      <c r="F939" s="56"/>
    </row>
    <row r="940">
      <c r="A940" s="56"/>
      <c r="B940" s="57"/>
      <c r="C940" s="56"/>
      <c r="D940" s="56"/>
      <c r="E940" s="56"/>
      <c r="F940" s="56"/>
    </row>
    <row r="941">
      <c r="A941" s="56"/>
      <c r="B941" s="57"/>
      <c r="C941" s="56"/>
      <c r="D941" s="56"/>
      <c r="E941" s="56"/>
      <c r="F941" s="56"/>
    </row>
    <row r="942">
      <c r="A942" s="56"/>
      <c r="B942" s="57"/>
      <c r="C942" s="56"/>
      <c r="D942" s="56"/>
      <c r="E942" s="56"/>
      <c r="F942" s="56"/>
    </row>
    <row r="943">
      <c r="A943" s="56"/>
      <c r="B943" s="57"/>
      <c r="C943" s="56"/>
      <c r="D943" s="56"/>
      <c r="E943" s="56"/>
      <c r="F943" s="56"/>
    </row>
    <row r="944">
      <c r="A944" s="56"/>
      <c r="B944" s="57"/>
      <c r="C944" s="56"/>
      <c r="D944" s="56"/>
      <c r="E944" s="56"/>
      <c r="F944" s="56"/>
    </row>
    <row r="945">
      <c r="A945" s="56"/>
      <c r="B945" s="57"/>
      <c r="C945" s="56"/>
      <c r="D945" s="56"/>
      <c r="E945" s="56"/>
      <c r="F945" s="56"/>
    </row>
    <row r="946">
      <c r="A946" s="56"/>
      <c r="B946" s="57"/>
      <c r="C946" s="56"/>
      <c r="D946" s="56"/>
      <c r="E946" s="56"/>
      <c r="F946" s="56"/>
    </row>
    <row r="947">
      <c r="A947" s="56"/>
      <c r="B947" s="57"/>
      <c r="C947" s="56"/>
      <c r="D947" s="56"/>
      <c r="E947" s="56"/>
      <c r="F947" s="56"/>
    </row>
    <row r="948">
      <c r="A948" s="56"/>
      <c r="B948" s="57"/>
      <c r="C948" s="56"/>
      <c r="D948" s="56"/>
      <c r="E948" s="56"/>
      <c r="F948" s="56"/>
    </row>
    <row r="949">
      <c r="A949" s="56"/>
      <c r="B949" s="57"/>
      <c r="C949" s="56"/>
      <c r="D949" s="56"/>
      <c r="E949" s="56"/>
      <c r="F949" s="56"/>
    </row>
    <row r="950">
      <c r="A950" s="56"/>
      <c r="B950" s="57"/>
      <c r="C950" s="56"/>
      <c r="D950" s="56"/>
      <c r="E950" s="56"/>
      <c r="F950" s="56"/>
    </row>
    <row r="951">
      <c r="A951" s="56"/>
      <c r="B951" s="57"/>
      <c r="C951" s="56"/>
      <c r="D951" s="56"/>
      <c r="E951" s="56"/>
      <c r="F951" s="56"/>
    </row>
    <row r="952">
      <c r="A952" s="56"/>
      <c r="B952" s="57"/>
      <c r="C952" s="56"/>
      <c r="D952" s="56"/>
      <c r="E952" s="56"/>
      <c r="F952" s="56"/>
    </row>
    <row r="953">
      <c r="A953" s="56"/>
      <c r="B953" s="57"/>
      <c r="C953" s="56"/>
      <c r="D953" s="56"/>
      <c r="E953" s="56"/>
      <c r="F953" s="56"/>
    </row>
    <row r="954">
      <c r="A954" s="56"/>
      <c r="B954" s="57"/>
      <c r="C954" s="56"/>
      <c r="D954" s="56"/>
      <c r="E954" s="56"/>
      <c r="F954" s="56"/>
    </row>
    <row r="955">
      <c r="A955" s="56"/>
      <c r="B955" s="57"/>
      <c r="C955" s="56"/>
      <c r="D955" s="56"/>
      <c r="E955" s="56"/>
      <c r="F955" s="56"/>
    </row>
    <row r="956">
      <c r="A956" s="56"/>
      <c r="B956" s="57"/>
      <c r="C956" s="56"/>
      <c r="D956" s="56"/>
      <c r="E956" s="56"/>
      <c r="F956" s="56"/>
    </row>
    <row r="957">
      <c r="A957" s="56"/>
      <c r="B957" s="57"/>
      <c r="C957" s="56"/>
      <c r="D957" s="56"/>
      <c r="E957" s="56"/>
      <c r="F957" s="56"/>
    </row>
    <row r="958">
      <c r="A958" s="56"/>
      <c r="B958" s="57"/>
      <c r="C958" s="56"/>
      <c r="D958" s="56"/>
      <c r="E958" s="56"/>
      <c r="F958" s="56"/>
    </row>
    <row r="959">
      <c r="A959" s="56"/>
      <c r="B959" s="57"/>
      <c r="C959" s="56"/>
      <c r="D959" s="56"/>
      <c r="E959" s="56"/>
      <c r="F959" s="56"/>
    </row>
    <row r="960">
      <c r="A960" s="56"/>
      <c r="B960" s="57"/>
      <c r="C960" s="56"/>
      <c r="D960" s="56"/>
      <c r="E960" s="56"/>
      <c r="F960" s="56"/>
    </row>
    <row r="961">
      <c r="A961" s="56"/>
      <c r="B961" s="57"/>
      <c r="C961" s="56"/>
      <c r="D961" s="56"/>
      <c r="E961" s="56"/>
      <c r="F961" s="56"/>
    </row>
    <row r="962">
      <c r="A962" s="56"/>
      <c r="B962" s="57"/>
      <c r="C962" s="56"/>
      <c r="D962" s="56"/>
      <c r="E962" s="56"/>
      <c r="F962" s="56"/>
    </row>
    <row r="963">
      <c r="A963" s="56"/>
      <c r="B963" s="57"/>
      <c r="C963" s="56"/>
      <c r="D963" s="56"/>
      <c r="E963" s="56"/>
      <c r="F963" s="56"/>
    </row>
    <row r="964">
      <c r="A964" s="56"/>
      <c r="B964" s="57"/>
      <c r="C964" s="56"/>
      <c r="D964" s="56"/>
      <c r="E964" s="56"/>
      <c r="F964" s="56"/>
    </row>
    <row r="965">
      <c r="A965" s="56"/>
      <c r="B965" s="57"/>
      <c r="C965" s="56"/>
      <c r="D965" s="56"/>
      <c r="E965" s="56"/>
      <c r="F965" s="56"/>
    </row>
    <row r="966">
      <c r="A966" s="56"/>
      <c r="B966" s="57"/>
      <c r="C966" s="56"/>
      <c r="D966" s="56"/>
      <c r="E966" s="56"/>
      <c r="F966" s="56"/>
    </row>
    <row r="967">
      <c r="A967" s="56"/>
      <c r="B967" s="57"/>
      <c r="C967" s="56"/>
      <c r="D967" s="56"/>
      <c r="E967" s="56"/>
      <c r="F967" s="56"/>
    </row>
    <row r="968">
      <c r="A968" s="56"/>
      <c r="B968" s="57"/>
      <c r="C968" s="56"/>
      <c r="D968" s="56"/>
      <c r="E968" s="56"/>
      <c r="F968" s="56"/>
    </row>
    <row r="969">
      <c r="A969" s="56"/>
      <c r="B969" s="57"/>
      <c r="C969" s="56"/>
      <c r="D969" s="56"/>
      <c r="E969" s="56"/>
      <c r="F969" s="56"/>
    </row>
    <row r="970">
      <c r="A970" s="56"/>
      <c r="B970" s="57"/>
      <c r="C970" s="56"/>
      <c r="D970" s="56"/>
      <c r="E970" s="56"/>
      <c r="F970" s="56"/>
    </row>
    <row r="971">
      <c r="A971" s="56"/>
      <c r="B971" s="57"/>
      <c r="C971" s="56"/>
      <c r="D971" s="56"/>
      <c r="E971" s="56"/>
      <c r="F971" s="56"/>
    </row>
    <row r="972">
      <c r="A972" s="56"/>
      <c r="B972" s="57"/>
      <c r="C972" s="56"/>
      <c r="D972" s="56"/>
      <c r="E972" s="56"/>
      <c r="F972" s="56"/>
    </row>
    <row r="973">
      <c r="A973" s="56"/>
      <c r="B973" s="57"/>
      <c r="C973" s="56"/>
      <c r="D973" s="56"/>
      <c r="E973" s="56"/>
      <c r="F973" s="56"/>
    </row>
    <row r="974">
      <c r="A974" s="56"/>
      <c r="B974" s="57"/>
      <c r="C974" s="56"/>
      <c r="D974" s="56"/>
      <c r="E974" s="56"/>
      <c r="F974" s="56"/>
    </row>
    <row r="975">
      <c r="A975" s="56"/>
      <c r="B975" s="57"/>
      <c r="C975" s="56"/>
      <c r="D975" s="56"/>
      <c r="E975" s="56"/>
      <c r="F975" s="56"/>
    </row>
    <row r="976">
      <c r="A976" s="56"/>
      <c r="B976" s="57"/>
      <c r="C976" s="56"/>
      <c r="D976" s="56"/>
      <c r="E976" s="56"/>
      <c r="F976" s="56"/>
    </row>
    <row r="977">
      <c r="A977" s="56"/>
      <c r="B977" s="57"/>
      <c r="C977" s="56"/>
      <c r="D977" s="56"/>
      <c r="E977" s="56"/>
      <c r="F977" s="56"/>
    </row>
    <row r="978">
      <c r="A978" s="56"/>
      <c r="B978" s="57"/>
      <c r="C978" s="56"/>
      <c r="D978" s="56"/>
      <c r="E978" s="56"/>
      <c r="F978" s="56"/>
    </row>
    <row r="979">
      <c r="A979" s="56"/>
      <c r="B979" s="57"/>
      <c r="C979" s="56"/>
      <c r="D979" s="56"/>
      <c r="E979" s="56"/>
      <c r="F979" s="56"/>
    </row>
    <row r="980">
      <c r="A980" s="56"/>
      <c r="B980" s="57"/>
      <c r="C980" s="56"/>
      <c r="D980" s="56"/>
      <c r="E980" s="56"/>
      <c r="F980" s="56"/>
    </row>
    <row r="981">
      <c r="A981" s="56"/>
      <c r="B981" s="57"/>
      <c r="C981" s="56"/>
      <c r="D981" s="56"/>
      <c r="E981" s="56"/>
      <c r="F981" s="56"/>
    </row>
    <row r="982">
      <c r="A982" s="56"/>
      <c r="B982" s="57"/>
      <c r="C982" s="56"/>
      <c r="D982" s="56"/>
      <c r="E982" s="56"/>
      <c r="F982" s="56"/>
    </row>
    <row r="983">
      <c r="A983" s="56"/>
      <c r="B983" s="57"/>
      <c r="C983" s="56"/>
      <c r="D983" s="56"/>
      <c r="E983" s="56"/>
      <c r="F983" s="56"/>
    </row>
    <row r="984">
      <c r="A984" s="56"/>
      <c r="B984" s="57"/>
      <c r="C984" s="56"/>
      <c r="D984" s="56"/>
      <c r="E984" s="56"/>
      <c r="F984" s="56"/>
    </row>
    <row r="985">
      <c r="A985" s="56"/>
      <c r="B985" s="57"/>
      <c r="C985" s="56"/>
      <c r="D985" s="56"/>
      <c r="E985" s="56"/>
      <c r="F985" s="56"/>
    </row>
    <row r="986">
      <c r="A986" s="56"/>
      <c r="B986" s="57"/>
      <c r="C986" s="56"/>
      <c r="D986" s="56"/>
      <c r="E986" s="56"/>
      <c r="F986" s="56"/>
    </row>
    <row r="987">
      <c r="A987" s="56"/>
      <c r="B987" s="57"/>
      <c r="C987" s="56"/>
      <c r="D987" s="56"/>
      <c r="E987" s="56"/>
      <c r="F987" s="56"/>
    </row>
    <row r="988">
      <c r="A988" s="56"/>
      <c r="B988" s="57"/>
      <c r="C988" s="56"/>
      <c r="D988" s="56"/>
      <c r="E988" s="56"/>
      <c r="F988" s="56"/>
    </row>
    <row r="989">
      <c r="A989" s="56"/>
      <c r="B989" s="57"/>
      <c r="C989" s="56"/>
      <c r="D989" s="56"/>
      <c r="E989" s="56"/>
      <c r="F989" s="56"/>
    </row>
    <row r="990">
      <c r="A990" s="56"/>
      <c r="B990" s="57"/>
      <c r="C990" s="56"/>
      <c r="D990" s="56"/>
      <c r="E990" s="56"/>
      <c r="F990" s="56"/>
    </row>
    <row r="991">
      <c r="A991" s="56"/>
      <c r="B991" s="57"/>
      <c r="C991" s="56"/>
      <c r="D991" s="56"/>
      <c r="E991" s="56"/>
      <c r="F991" s="56"/>
    </row>
    <row r="992">
      <c r="A992" s="56"/>
      <c r="B992" s="57"/>
      <c r="C992" s="56"/>
      <c r="D992" s="56"/>
      <c r="E992" s="56"/>
      <c r="F992" s="56"/>
    </row>
    <row r="993">
      <c r="A993" s="56"/>
      <c r="B993" s="57"/>
      <c r="C993" s="56"/>
      <c r="D993" s="56"/>
      <c r="E993" s="56"/>
      <c r="F993" s="56"/>
    </row>
    <row r="994">
      <c r="A994" s="56"/>
      <c r="B994" s="57"/>
      <c r="C994" s="56"/>
      <c r="D994" s="56"/>
      <c r="E994" s="56"/>
      <c r="F994" s="56"/>
    </row>
    <row r="995">
      <c r="A995" s="56"/>
      <c r="B995" s="57"/>
      <c r="C995" s="56"/>
      <c r="D995" s="56"/>
      <c r="E995" s="56"/>
      <c r="F995" s="56"/>
    </row>
    <row r="996">
      <c r="A996" s="56"/>
      <c r="B996" s="57"/>
      <c r="C996" s="56"/>
      <c r="D996" s="56"/>
      <c r="E996" s="56"/>
      <c r="F996" s="56"/>
    </row>
    <row r="997">
      <c r="A997" s="56"/>
      <c r="B997" s="57"/>
      <c r="C997" s="56"/>
      <c r="D997" s="56"/>
      <c r="E997" s="56"/>
      <c r="F997" s="56"/>
    </row>
    <row r="998">
      <c r="A998" s="56"/>
      <c r="B998" s="57"/>
      <c r="C998" s="56"/>
      <c r="D998" s="56"/>
      <c r="E998" s="56"/>
      <c r="F998" s="56"/>
    </row>
    <row r="999">
      <c r="A999" s="56"/>
      <c r="B999" s="57"/>
      <c r="C999" s="56"/>
      <c r="D999" s="56"/>
      <c r="E999" s="56"/>
      <c r="F999" s="56"/>
    </row>
    <row r="1000">
      <c r="A1000" s="56"/>
      <c r="B1000" s="57"/>
      <c r="C1000" s="56"/>
      <c r="D1000" s="56"/>
      <c r="E1000" s="56"/>
      <c r="F1000" s="5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3.75"/>
    <col customWidth="1" min="4" max="4" width="55.25"/>
  </cols>
  <sheetData>
    <row r="1">
      <c r="A1" s="58" t="s">
        <v>568</v>
      </c>
      <c r="B1" s="58" t="s">
        <v>569</v>
      </c>
      <c r="C1" s="58" t="s">
        <v>570</v>
      </c>
      <c r="D1" s="59" t="s">
        <v>571</v>
      </c>
      <c r="E1" s="60"/>
      <c r="F1" s="60"/>
      <c r="G1" s="60"/>
      <c r="H1" s="60"/>
      <c r="I1" s="60"/>
      <c r="J1" s="60"/>
      <c r="K1" s="60"/>
      <c r="L1" s="60"/>
      <c r="M1" s="60"/>
      <c r="N1" s="60"/>
      <c r="O1" s="60"/>
      <c r="P1" s="60"/>
      <c r="Q1" s="60"/>
      <c r="R1" s="60"/>
      <c r="S1" s="60"/>
      <c r="T1" s="60"/>
      <c r="U1" s="60"/>
      <c r="V1" s="60"/>
      <c r="W1" s="60"/>
      <c r="X1" s="60"/>
      <c r="Y1" s="60"/>
      <c r="Z1" s="60"/>
    </row>
    <row r="2">
      <c r="A2" s="24" t="s">
        <v>572</v>
      </c>
      <c r="B2" s="24" t="s">
        <v>573</v>
      </c>
      <c r="C2" s="20"/>
    </row>
    <row r="3">
      <c r="A3" s="20"/>
      <c r="B3" s="20"/>
      <c r="C3" s="20"/>
    </row>
    <row r="4">
      <c r="A4" s="20"/>
      <c r="B4" s="20"/>
      <c r="C4" s="20"/>
    </row>
    <row r="5">
      <c r="A5" s="20"/>
      <c r="B5" s="20"/>
      <c r="C5" s="20"/>
    </row>
    <row r="6">
      <c r="A6" s="20"/>
      <c r="B6" s="20"/>
      <c r="C6" s="20"/>
    </row>
    <row r="7">
      <c r="A7" s="20"/>
      <c r="B7" s="20"/>
      <c r="C7" s="20"/>
    </row>
    <row r="8">
      <c r="A8" s="20"/>
      <c r="B8" s="20"/>
      <c r="C8" s="20"/>
    </row>
    <row r="9">
      <c r="A9" s="20"/>
      <c r="B9" s="20"/>
      <c r="C9" s="20"/>
    </row>
    <row r="10">
      <c r="A10" s="20"/>
      <c r="B10" s="20"/>
      <c r="C10" s="20"/>
    </row>
    <row r="11">
      <c r="A11" s="20"/>
      <c r="B11" s="20"/>
      <c r="C11" s="20"/>
    </row>
    <row r="12">
      <c r="A12" s="20"/>
      <c r="B12" s="20"/>
      <c r="C12" s="20"/>
    </row>
    <row r="13">
      <c r="A13" s="20"/>
      <c r="B13" s="20"/>
      <c r="C13" s="20"/>
    </row>
    <row r="14">
      <c r="A14" s="20"/>
      <c r="B14" s="20"/>
      <c r="C14" s="20"/>
    </row>
    <row r="15">
      <c r="A15" s="20"/>
      <c r="B15" s="20"/>
      <c r="C15" s="20"/>
    </row>
    <row r="16">
      <c r="A16" s="20"/>
      <c r="B16" s="20"/>
      <c r="C16" s="20"/>
    </row>
    <row r="17">
      <c r="A17" s="20"/>
      <c r="B17" s="20"/>
      <c r="C17" s="20"/>
    </row>
    <row r="18">
      <c r="A18" s="20"/>
      <c r="B18" s="20"/>
      <c r="C18" s="20"/>
    </row>
    <row r="19">
      <c r="A19" s="20"/>
      <c r="B19" s="20"/>
      <c r="C19" s="20"/>
    </row>
    <row r="20">
      <c r="A20" s="20"/>
      <c r="B20" s="20"/>
      <c r="C20" s="20"/>
    </row>
    <row r="21">
      <c r="A21" s="20"/>
      <c r="B21" s="20"/>
      <c r="C21" s="20"/>
    </row>
    <row r="22">
      <c r="A22" s="20"/>
      <c r="B22" s="20"/>
      <c r="C22" s="20"/>
    </row>
    <row r="23">
      <c r="A23" s="20"/>
      <c r="B23" s="20"/>
      <c r="C23" s="20"/>
    </row>
    <row r="24">
      <c r="A24" s="20"/>
      <c r="B24" s="20"/>
      <c r="C24" s="20"/>
    </row>
    <row r="25">
      <c r="A25" s="20"/>
      <c r="B25" s="20"/>
      <c r="C25" s="20"/>
    </row>
    <row r="26">
      <c r="A26" s="20"/>
      <c r="B26" s="20"/>
      <c r="C26" s="20"/>
    </row>
    <row r="27">
      <c r="A27" s="20"/>
      <c r="B27" s="20"/>
      <c r="C27" s="20"/>
    </row>
    <row r="28">
      <c r="A28" s="20"/>
      <c r="B28" s="20"/>
      <c r="C28" s="20"/>
    </row>
    <row r="29">
      <c r="A29" s="20"/>
      <c r="B29" s="20"/>
      <c r="C29" s="20"/>
    </row>
    <row r="30">
      <c r="A30" s="20"/>
      <c r="B30" s="20"/>
      <c r="C30" s="20"/>
    </row>
    <row r="31">
      <c r="A31" s="20"/>
      <c r="B31" s="20"/>
      <c r="C31" s="20"/>
    </row>
    <row r="32">
      <c r="A32" s="20"/>
      <c r="B32" s="20"/>
      <c r="C32" s="20"/>
    </row>
    <row r="33">
      <c r="A33" s="20"/>
      <c r="B33" s="20"/>
      <c r="C33" s="20"/>
    </row>
    <row r="34">
      <c r="A34" s="20"/>
      <c r="B34" s="20"/>
      <c r="C34" s="20"/>
    </row>
    <row r="35">
      <c r="A35" s="20"/>
      <c r="B35" s="20"/>
      <c r="C35" s="20"/>
    </row>
    <row r="36">
      <c r="A36" s="20"/>
      <c r="B36" s="20"/>
      <c r="C36" s="20"/>
    </row>
    <row r="37">
      <c r="A37" s="20"/>
      <c r="B37" s="20"/>
      <c r="C37" s="20"/>
    </row>
    <row r="38">
      <c r="A38" s="20"/>
      <c r="B38" s="20"/>
      <c r="C38" s="20"/>
    </row>
    <row r="39">
      <c r="A39" s="20"/>
      <c r="B39" s="20"/>
      <c r="C39" s="20"/>
    </row>
    <row r="40">
      <c r="A40" s="20"/>
      <c r="B40" s="20"/>
      <c r="C40" s="20"/>
    </row>
    <row r="41">
      <c r="A41" s="20"/>
      <c r="B41" s="20"/>
      <c r="C41" s="20"/>
    </row>
    <row r="42">
      <c r="A42" s="20"/>
      <c r="B42" s="20"/>
      <c r="C42" s="20"/>
    </row>
    <row r="43">
      <c r="A43" s="20"/>
      <c r="B43" s="20"/>
      <c r="C43" s="20"/>
    </row>
    <row r="44">
      <c r="A44" s="20"/>
      <c r="B44" s="20"/>
      <c r="C44" s="20"/>
    </row>
    <row r="45">
      <c r="A45" s="20"/>
      <c r="B45" s="20"/>
      <c r="C45" s="20"/>
    </row>
    <row r="46">
      <c r="A46" s="20"/>
      <c r="B46" s="20"/>
      <c r="C46" s="20"/>
    </row>
    <row r="47">
      <c r="A47" s="20"/>
      <c r="B47" s="20"/>
      <c r="C47" s="20"/>
    </row>
    <row r="48">
      <c r="A48" s="20"/>
      <c r="B48" s="20"/>
      <c r="C48" s="20"/>
    </row>
    <row r="49">
      <c r="A49" s="20"/>
      <c r="B49" s="20"/>
      <c r="C49" s="20"/>
    </row>
    <row r="50">
      <c r="A50" s="20"/>
      <c r="B50" s="20"/>
      <c r="C50" s="20"/>
    </row>
    <row r="51">
      <c r="A51" s="20"/>
      <c r="B51" s="20"/>
      <c r="C51" s="20"/>
    </row>
    <row r="52">
      <c r="A52" s="20"/>
      <c r="B52" s="20"/>
      <c r="C52" s="20"/>
    </row>
    <row r="53">
      <c r="A53" s="20"/>
      <c r="B53" s="20"/>
      <c r="C53" s="20"/>
    </row>
    <row r="54">
      <c r="A54" s="20"/>
      <c r="B54" s="20"/>
      <c r="C54" s="20"/>
    </row>
    <row r="55">
      <c r="A55" s="20"/>
      <c r="B55" s="20"/>
      <c r="C55" s="20"/>
    </row>
    <row r="56">
      <c r="A56" s="20"/>
      <c r="B56" s="20"/>
      <c r="C56" s="20"/>
    </row>
    <row r="57">
      <c r="A57" s="20"/>
      <c r="B57" s="20"/>
      <c r="C57" s="20"/>
    </row>
    <row r="58">
      <c r="A58" s="20"/>
      <c r="B58" s="20"/>
      <c r="C58" s="20"/>
    </row>
    <row r="59">
      <c r="A59" s="20"/>
      <c r="B59" s="20"/>
      <c r="C59" s="20"/>
    </row>
    <row r="60">
      <c r="A60" s="20"/>
      <c r="B60" s="20"/>
      <c r="C60" s="20"/>
    </row>
    <row r="61">
      <c r="A61" s="20"/>
      <c r="B61" s="20"/>
      <c r="C61" s="20"/>
    </row>
    <row r="62">
      <c r="A62" s="20"/>
      <c r="B62" s="20"/>
      <c r="C62" s="20"/>
    </row>
    <row r="63">
      <c r="A63" s="20"/>
      <c r="B63" s="20"/>
      <c r="C63" s="20"/>
    </row>
    <row r="64">
      <c r="A64" s="20"/>
      <c r="B64" s="20"/>
      <c r="C64" s="20"/>
    </row>
    <row r="65">
      <c r="A65" s="20"/>
      <c r="B65" s="20"/>
      <c r="C65" s="20"/>
    </row>
    <row r="66">
      <c r="A66" s="20"/>
      <c r="B66" s="20"/>
      <c r="C66" s="20"/>
    </row>
    <row r="67">
      <c r="A67" s="20"/>
      <c r="B67" s="20"/>
      <c r="C67" s="20"/>
    </row>
    <row r="68">
      <c r="A68" s="20"/>
      <c r="B68" s="20"/>
      <c r="C68" s="20"/>
    </row>
    <row r="69">
      <c r="A69" s="20"/>
      <c r="B69" s="20"/>
      <c r="C69" s="20"/>
    </row>
    <row r="70">
      <c r="A70" s="20"/>
      <c r="B70" s="20"/>
      <c r="C70" s="20"/>
    </row>
    <row r="71">
      <c r="A71" s="20"/>
      <c r="B71" s="20"/>
      <c r="C71" s="20"/>
    </row>
    <row r="72">
      <c r="A72" s="20"/>
      <c r="B72" s="20"/>
      <c r="C72" s="20"/>
    </row>
    <row r="73">
      <c r="A73" s="20"/>
      <c r="B73" s="20"/>
      <c r="C73" s="20"/>
    </row>
    <row r="74">
      <c r="A74" s="20"/>
      <c r="B74" s="20"/>
      <c r="C74" s="20"/>
    </row>
    <row r="75">
      <c r="A75" s="20"/>
      <c r="B75" s="20"/>
      <c r="C75" s="20"/>
    </row>
    <row r="76">
      <c r="A76" s="20"/>
      <c r="B76" s="20"/>
      <c r="C76" s="20"/>
    </row>
    <row r="77">
      <c r="A77" s="20"/>
      <c r="B77" s="20"/>
      <c r="C77" s="20"/>
    </row>
    <row r="78">
      <c r="A78" s="20"/>
      <c r="B78" s="20"/>
      <c r="C78" s="20"/>
    </row>
    <row r="79">
      <c r="A79" s="20"/>
      <c r="B79" s="20"/>
      <c r="C79" s="20"/>
    </row>
    <row r="80">
      <c r="A80" s="20"/>
      <c r="B80" s="20"/>
      <c r="C80" s="20"/>
    </row>
    <row r="81">
      <c r="A81" s="20"/>
      <c r="B81" s="20"/>
      <c r="C81" s="20"/>
    </row>
    <row r="82">
      <c r="A82" s="20"/>
      <c r="B82" s="20"/>
      <c r="C82" s="20"/>
    </row>
    <row r="83">
      <c r="A83" s="20"/>
      <c r="B83" s="20"/>
      <c r="C83" s="20"/>
    </row>
    <row r="84">
      <c r="A84" s="20"/>
      <c r="B84" s="20"/>
      <c r="C84" s="20"/>
    </row>
    <row r="85">
      <c r="A85" s="20"/>
      <c r="B85" s="20"/>
      <c r="C85" s="20"/>
    </row>
    <row r="86">
      <c r="A86" s="20"/>
      <c r="B86" s="20"/>
      <c r="C86" s="20"/>
    </row>
    <row r="87">
      <c r="A87" s="20"/>
      <c r="B87" s="20"/>
      <c r="C87" s="20"/>
    </row>
    <row r="88">
      <c r="A88" s="20"/>
      <c r="B88" s="20"/>
      <c r="C88" s="20"/>
    </row>
    <row r="89">
      <c r="A89" s="20"/>
      <c r="B89" s="20"/>
      <c r="C89" s="20"/>
    </row>
    <row r="90">
      <c r="A90" s="20"/>
      <c r="B90" s="20"/>
      <c r="C90" s="20"/>
    </row>
    <row r="91">
      <c r="A91" s="20"/>
      <c r="B91" s="20"/>
      <c r="C91" s="20"/>
    </row>
    <row r="92">
      <c r="A92" s="20"/>
      <c r="B92" s="20"/>
      <c r="C92" s="20"/>
    </row>
    <row r="93">
      <c r="A93" s="20"/>
      <c r="B93" s="20"/>
      <c r="C93" s="20"/>
    </row>
    <row r="94">
      <c r="A94" s="20"/>
      <c r="B94" s="20"/>
      <c r="C94" s="20"/>
    </row>
    <row r="95">
      <c r="A95" s="20"/>
      <c r="B95" s="20"/>
      <c r="C95" s="20"/>
    </row>
    <row r="96">
      <c r="A96" s="20"/>
      <c r="B96" s="20"/>
      <c r="C96" s="20"/>
    </row>
    <row r="97">
      <c r="A97" s="20"/>
      <c r="B97" s="20"/>
      <c r="C97" s="20"/>
    </row>
    <row r="98">
      <c r="A98" s="20"/>
      <c r="B98" s="20"/>
      <c r="C98" s="20"/>
    </row>
    <row r="99">
      <c r="A99" s="20"/>
      <c r="B99" s="20"/>
      <c r="C99" s="20"/>
    </row>
    <row r="100">
      <c r="A100" s="20"/>
      <c r="B100" s="20"/>
      <c r="C100" s="20"/>
    </row>
    <row r="101">
      <c r="A101" s="20"/>
      <c r="B101" s="20"/>
      <c r="C101" s="20"/>
    </row>
    <row r="102">
      <c r="A102" s="20"/>
      <c r="B102" s="20"/>
      <c r="C102" s="20"/>
    </row>
    <row r="103">
      <c r="A103" s="20"/>
      <c r="B103" s="20"/>
      <c r="C103" s="20"/>
    </row>
    <row r="104">
      <c r="A104" s="20"/>
      <c r="B104" s="20"/>
      <c r="C104" s="20"/>
    </row>
    <row r="105">
      <c r="A105" s="20"/>
      <c r="B105" s="20"/>
      <c r="C105" s="20"/>
    </row>
    <row r="106">
      <c r="A106" s="20"/>
      <c r="B106" s="20"/>
      <c r="C106" s="20"/>
    </row>
    <row r="107">
      <c r="A107" s="20"/>
      <c r="B107" s="20"/>
      <c r="C107" s="20"/>
    </row>
    <row r="108">
      <c r="A108" s="20"/>
      <c r="B108" s="20"/>
      <c r="C108" s="20"/>
    </row>
    <row r="109">
      <c r="A109" s="20"/>
      <c r="B109" s="20"/>
      <c r="C109" s="20"/>
    </row>
    <row r="110">
      <c r="A110" s="20"/>
      <c r="B110" s="20"/>
      <c r="C110" s="20"/>
    </row>
    <row r="111">
      <c r="A111" s="20"/>
      <c r="B111" s="20"/>
      <c r="C111" s="20"/>
    </row>
    <row r="112">
      <c r="A112" s="20"/>
      <c r="B112" s="20"/>
      <c r="C112" s="20"/>
    </row>
    <row r="113">
      <c r="A113" s="20"/>
      <c r="B113" s="20"/>
      <c r="C113" s="20"/>
    </row>
    <row r="114">
      <c r="A114" s="20"/>
      <c r="B114" s="20"/>
      <c r="C114" s="20"/>
    </row>
    <row r="115">
      <c r="A115" s="20"/>
      <c r="B115" s="20"/>
      <c r="C115" s="20"/>
    </row>
    <row r="116">
      <c r="A116" s="20"/>
      <c r="B116" s="20"/>
      <c r="C116" s="20"/>
    </row>
    <row r="117">
      <c r="A117" s="20"/>
      <c r="B117" s="20"/>
      <c r="C117" s="20"/>
    </row>
    <row r="118">
      <c r="A118" s="20"/>
      <c r="B118" s="20"/>
      <c r="C118" s="20"/>
    </row>
    <row r="119">
      <c r="A119" s="20"/>
      <c r="B119" s="20"/>
      <c r="C119" s="20"/>
    </row>
    <row r="120">
      <c r="A120" s="20"/>
      <c r="B120" s="20"/>
      <c r="C120" s="20"/>
    </row>
    <row r="121">
      <c r="A121" s="20"/>
      <c r="B121" s="20"/>
      <c r="C121" s="20"/>
    </row>
    <row r="122">
      <c r="A122" s="20"/>
      <c r="B122" s="20"/>
      <c r="C122" s="20"/>
    </row>
    <row r="123">
      <c r="A123" s="20"/>
      <c r="B123" s="20"/>
      <c r="C123" s="20"/>
    </row>
    <row r="124">
      <c r="A124" s="20"/>
      <c r="B124" s="20"/>
      <c r="C124" s="20"/>
    </row>
    <row r="125">
      <c r="A125" s="20"/>
      <c r="B125" s="20"/>
      <c r="C125" s="20"/>
    </row>
    <row r="126">
      <c r="A126" s="20"/>
      <c r="B126" s="20"/>
      <c r="C126" s="20"/>
    </row>
    <row r="127">
      <c r="A127" s="20"/>
      <c r="B127" s="20"/>
      <c r="C127" s="20"/>
    </row>
    <row r="128">
      <c r="A128" s="20"/>
      <c r="B128" s="20"/>
      <c r="C128" s="20"/>
    </row>
    <row r="129">
      <c r="A129" s="20"/>
      <c r="B129" s="20"/>
      <c r="C129" s="20"/>
    </row>
    <row r="130">
      <c r="A130" s="20"/>
      <c r="B130" s="20"/>
      <c r="C130" s="20"/>
    </row>
    <row r="131">
      <c r="A131" s="20"/>
      <c r="B131" s="20"/>
      <c r="C131" s="20"/>
    </row>
    <row r="132">
      <c r="A132" s="20"/>
      <c r="B132" s="20"/>
      <c r="C132" s="20"/>
    </row>
    <row r="133">
      <c r="A133" s="20"/>
      <c r="B133" s="20"/>
      <c r="C133" s="20"/>
    </row>
    <row r="134">
      <c r="A134" s="20"/>
      <c r="B134" s="20"/>
      <c r="C134" s="20"/>
    </row>
    <row r="135">
      <c r="A135" s="20"/>
      <c r="B135" s="20"/>
      <c r="C135" s="20"/>
    </row>
    <row r="136">
      <c r="A136" s="20"/>
      <c r="B136" s="20"/>
      <c r="C136" s="20"/>
    </row>
    <row r="137">
      <c r="A137" s="20"/>
      <c r="B137" s="20"/>
      <c r="C137" s="20"/>
    </row>
    <row r="138">
      <c r="A138" s="20"/>
      <c r="B138" s="20"/>
      <c r="C138" s="20"/>
    </row>
    <row r="139">
      <c r="A139" s="20"/>
      <c r="B139" s="20"/>
      <c r="C139" s="20"/>
    </row>
    <row r="140">
      <c r="A140" s="20"/>
      <c r="B140" s="20"/>
      <c r="C140" s="20"/>
    </row>
    <row r="141">
      <c r="A141" s="20"/>
      <c r="B141" s="20"/>
      <c r="C141" s="20"/>
    </row>
    <row r="142">
      <c r="A142" s="20"/>
      <c r="B142" s="20"/>
      <c r="C142" s="20"/>
    </row>
    <row r="143">
      <c r="A143" s="20"/>
      <c r="B143" s="20"/>
      <c r="C143" s="20"/>
    </row>
    <row r="144">
      <c r="A144" s="20"/>
      <c r="B144" s="20"/>
      <c r="C144" s="20"/>
    </row>
    <row r="145">
      <c r="A145" s="20"/>
      <c r="B145" s="20"/>
      <c r="C145" s="20"/>
    </row>
    <row r="146">
      <c r="A146" s="20"/>
      <c r="B146" s="20"/>
      <c r="C146" s="20"/>
    </row>
    <row r="147">
      <c r="A147" s="20"/>
      <c r="B147" s="20"/>
      <c r="C147" s="20"/>
    </row>
    <row r="148">
      <c r="A148" s="20"/>
      <c r="B148" s="20"/>
      <c r="C148" s="20"/>
    </row>
    <row r="149">
      <c r="A149" s="20"/>
      <c r="B149" s="20"/>
      <c r="C149" s="20"/>
    </row>
    <row r="150">
      <c r="A150" s="20"/>
      <c r="B150" s="20"/>
      <c r="C150" s="20"/>
    </row>
    <row r="151">
      <c r="A151" s="20"/>
      <c r="B151" s="20"/>
      <c r="C151" s="20"/>
    </row>
    <row r="152">
      <c r="A152" s="20"/>
      <c r="B152" s="20"/>
      <c r="C152" s="20"/>
    </row>
    <row r="153">
      <c r="A153" s="20"/>
      <c r="B153" s="20"/>
      <c r="C153" s="20"/>
    </row>
    <row r="154">
      <c r="A154" s="20"/>
      <c r="B154" s="20"/>
      <c r="C154" s="20"/>
    </row>
    <row r="155">
      <c r="A155" s="20"/>
      <c r="B155" s="20"/>
      <c r="C155" s="20"/>
    </row>
    <row r="156">
      <c r="A156" s="20"/>
      <c r="B156" s="20"/>
      <c r="C156" s="20"/>
    </row>
    <row r="157">
      <c r="A157" s="20"/>
      <c r="B157" s="20"/>
      <c r="C157" s="20"/>
    </row>
    <row r="158">
      <c r="A158" s="20"/>
      <c r="B158" s="20"/>
      <c r="C158" s="20"/>
    </row>
    <row r="159">
      <c r="A159" s="20"/>
      <c r="B159" s="20"/>
      <c r="C159" s="20"/>
    </row>
    <row r="160">
      <c r="A160" s="20"/>
      <c r="B160" s="20"/>
      <c r="C160" s="20"/>
    </row>
    <row r="161">
      <c r="A161" s="20"/>
      <c r="B161" s="20"/>
      <c r="C161" s="20"/>
    </row>
    <row r="162">
      <c r="A162" s="20"/>
      <c r="B162" s="20"/>
      <c r="C162" s="20"/>
    </row>
    <row r="163">
      <c r="A163" s="20"/>
      <c r="B163" s="20"/>
      <c r="C163" s="20"/>
    </row>
    <row r="164">
      <c r="A164" s="20"/>
      <c r="B164" s="20"/>
      <c r="C164" s="20"/>
    </row>
    <row r="165">
      <c r="A165" s="20"/>
      <c r="B165" s="20"/>
      <c r="C165" s="20"/>
    </row>
    <row r="166">
      <c r="A166" s="20"/>
      <c r="B166" s="20"/>
      <c r="C166" s="20"/>
    </row>
    <row r="167">
      <c r="A167" s="20"/>
      <c r="B167" s="20"/>
      <c r="C167" s="20"/>
    </row>
    <row r="168">
      <c r="A168" s="20"/>
      <c r="B168" s="20"/>
      <c r="C168" s="20"/>
    </row>
    <row r="169">
      <c r="A169" s="20"/>
      <c r="B169" s="20"/>
      <c r="C169" s="20"/>
    </row>
    <row r="170">
      <c r="A170" s="20"/>
      <c r="B170" s="20"/>
      <c r="C170" s="20"/>
    </row>
    <row r="171">
      <c r="A171" s="20"/>
      <c r="B171" s="20"/>
      <c r="C171" s="20"/>
    </row>
    <row r="172">
      <c r="A172" s="20"/>
      <c r="B172" s="20"/>
      <c r="C172" s="20"/>
    </row>
    <row r="173">
      <c r="A173" s="20"/>
      <c r="B173" s="20"/>
      <c r="C173" s="20"/>
    </row>
    <row r="174">
      <c r="A174" s="20"/>
      <c r="B174" s="20"/>
      <c r="C174" s="20"/>
    </row>
    <row r="175">
      <c r="A175" s="20"/>
      <c r="B175" s="20"/>
      <c r="C175" s="20"/>
    </row>
    <row r="176">
      <c r="A176" s="20"/>
      <c r="B176" s="20"/>
      <c r="C176" s="20"/>
    </row>
    <row r="177">
      <c r="A177" s="20"/>
      <c r="B177" s="20"/>
      <c r="C177" s="20"/>
    </row>
    <row r="178">
      <c r="A178" s="20"/>
      <c r="B178" s="20"/>
      <c r="C178" s="20"/>
    </row>
    <row r="179">
      <c r="A179" s="20"/>
      <c r="B179" s="20"/>
      <c r="C179" s="20"/>
    </row>
    <row r="180">
      <c r="A180" s="20"/>
      <c r="B180" s="20"/>
      <c r="C180" s="20"/>
    </row>
    <row r="181">
      <c r="A181" s="20"/>
      <c r="B181" s="20"/>
      <c r="C181" s="20"/>
    </row>
    <row r="182">
      <c r="A182" s="20"/>
      <c r="B182" s="20"/>
      <c r="C182" s="20"/>
    </row>
    <row r="183">
      <c r="A183" s="20"/>
      <c r="B183" s="20"/>
      <c r="C183" s="20"/>
    </row>
    <row r="184">
      <c r="A184" s="20"/>
      <c r="B184" s="20"/>
      <c r="C184" s="20"/>
    </row>
    <row r="185">
      <c r="A185" s="20"/>
      <c r="B185" s="20"/>
      <c r="C185" s="20"/>
    </row>
    <row r="186">
      <c r="A186" s="20"/>
      <c r="B186" s="20"/>
      <c r="C186" s="20"/>
    </row>
    <row r="187">
      <c r="A187" s="20"/>
      <c r="B187" s="20"/>
      <c r="C187" s="20"/>
    </row>
    <row r="188">
      <c r="A188" s="20"/>
      <c r="B188" s="20"/>
      <c r="C188" s="20"/>
    </row>
    <row r="189">
      <c r="A189" s="20"/>
      <c r="B189" s="20"/>
      <c r="C189" s="20"/>
    </row>
    <row r="190">
      <c r="A190" s="20"/>
      <c r="B190" s="20"/>
      <c r="C190" s="20"/>
    </row>
    <row r="191">
      <c r="A191" s="20"/>
      <c r="B191" s="20"/>
      <c r="C191" s="20"/>
    </row>
    <row r="192">
      <c r="A192" s="20"/>
      <c r="B192" s="20"/>
      <c r="C192" s="20"/>
    </row>
    <row r="193">
      <c r="A193" s="20"/>
      <c r="B193" s="20"/>
      <c r="C193" s="20"/>
    </row>
    <row r="194">
      <c r="A194" s="20"/>
      <c r="B194" s="20"/>
      <c r="C194" s="20"/>
    </row>
    <row r="195">
      <c r="A195" s="20"/>
      <c r="B195" s="20"/>
      <c r="C195" s="20"/>
    </row>
    <row r="196">
      <c r="A196" s="20"/>
      <c r="B196" s="20"/>
      <c r="C196" s="20"/>
    </row>
    <row r="197">
      <c r="A197" s="20"/>
      <c r="B197" s="20"/>
      <c r="C197" s="20"/>
    </row>
    <row r="198">
      <c r="A198" s="20"/>
      <c r="B198" s="20"/>
      <c r="C198" s="20"/>
    </row>
    <row r="199">
      <c r="A199" s="20"/>
      <c r="B199" s="20"/>
      <c r="C199" s="20"/>
    </row>
    <row r="200">
      <c r="A200" s="20"/>
      <c r="B200" s="20"/>
      <c r="C200" s="20"/>
    </row>
    <row r="201">
      <c r="A201" s="20"/>
      <c r="B201" s="20"/>
      <c r="C201" s="20"/>
    </row>
    <row r="202">
      <c r="A202" s="20"/>
      <c r="B202" s="20"/>
      <c r="C202" s="20"/>
    </row>
    <row r="203">
      <c r="A203" s="20"/>
      <c r="B203" s="20"/>
      <c r="C203" s="20"/>
    </row>
    <row r="204">
      <c r="A204" s="20"/>
      <c r="B204" s="20"/>
      <c r="C204" s="20"/>
    </row>
    <row r="205">
      <c r="A205" s="20"/>
      <c r="B205" s="20"/>
      <c r="C205" s="20"/>
    </row>
    <row r="206">
      <c r="A206" s="20"/>
      <c r="B206" s="20"/>
      <c r="C206" s="20"/>
    </row>
    <row r="207">
      <c r="A207" s="20"/>
      <c r="B207" s="20"/>
      <c r="C207" s="20"/>
    </row>
    <row r="208">
      <c r="A208" s="20"/>
      <c r="B208" s="20"/>
      <c r="C208" s="20"/>
    </row>
    <row r="209">
      <c r="A209" s="20"/>
      <c r="B209" s="20"/>
      <c r="C209" s="20"/>
    </row>
    <row r="210">
      <c r="A210" s="20"/>
      <c r="B210" s="20"/>
      <c r="C210" s="20"/>
    </row>
    <row r="211">
      <c r="A211" s="20"/>
      <c r="B211" s="20"/>
      <c r="C211" s="20"/>
    </row>
    <row r="212">
      <c r="A212" s="20"/>
      <c r="B212" s="20"/>
      <c r="C212" s="20"/>
    </row>
    <row r="213">
      <c r="A213" s="20"/>
      <c r="B213" s="20"/>
      <c r="C213" s="20"/>
    </row>
    <row r="214">
      <c r="A214" s="20"/>
      <c r="B214" s="20"/>
      <c r="C214" s="20"/>
    </row>
    <row r="215">
      <c r="A215" s="20"/>
      <c r="B215" s="20"/>
      <c r="C215" s="20"/>
    </row>
    <row r="216">
      <c r="A216" s="20"/>
      <c r="B216" s="20"/>
      <c r="C216" s="20"/>
    </row>
    <row r="217">
      <c r="A217" s="20"/>
      <c r="B217" s="20"/>
      <c r="C217" s="20"/>
    </row>
    <row r="218">
      <c r="A218" s="20"/>
      <c r="B218" s="20"/>
      <c r="C218" s="20"/>
    </row>
    <row r="219">
      <c r="A219" s="20"/>
      <c r="B219" s="20"/>
      <c r="C219" s="20"/>
    </row>
    <row r="220">
      <c r="A220" s="20"/>
      <c r="B220" s="20"/>
      <c r="C220" s="20"/>
    </row>
    <row r="221">
      <c r="A221" s="20"/>
      <c r="B221" s="20"/>
      <c r="C221" s="20"/>
    </row>
    <row r="222">
      <c r="A222" s="20"/>
      <c r="B222" s="20"/>
      <c r="C222" s="20"/>
    </row>
    <row r="223">
      <c r="A223" s="20"/>
      <c r="B223" s="20"/>
      <c r="C223" s="20"/>
    </row>
    <row r="224">
      <c r="A224" s="20"/>
      <c r="B224" s="20"/>
      <c r="C224" s="20"/>
    </row>
    <row r="225">
      <c r="A225" s="20"/>
      <c r="B225" s="20"/>
      <c r="C225" s="20"/>
    </row>
    <row r="226">
      <c r="A226" s="20"/>
      <c r="B226" s="20"/>
      <c r="C226" s="20"/>
    </row>
    <row r="227">
      <c r="A227" s="20"/>
      <c r="B227" s="20"/>
      <c r="C227" s="20"/>
    </row>
    <row r="228">
      <c r="A228" s="20"/>
      <c r="B228" s="20"/>
      <c r="C228" s="20"/>
    </row>
    <row r="229">
      <c r="A229" s="20"/>
      <c r="B229" s="20"/>
      <c r="C229" s="20"/>
    </row>
    <row r="230">
      <c r="A230" s="20"/>
      <c r="B230" s="20"/>
      <c r="C230" s="20"/>
    </row>
    <row r="231">
      <c r="A231" s="20"/>
      <c r="B231" s="20"/>
      <c r="C231" s="20"/>
    </row>
    <row r="232">
      <c r="A232" s="20"/>
      <c r="B232" s="20"/>
      <c r="C232" s="20"/>
    </row>
    <row r="233">
      <c r="A233" s="20"/>
      <c r="B233" s="20"/>
      <c r="C233" s="20"/>
    </row>
    <row r="234">
      <c r="A234" s="20"/>
      <c r="B234" s="20"/>
      <c r="C234" s="20"/>
    </row>
    <row r="235">
      <c r="A235" s="20"/>
      <c r="B235" s="20"/>
      <c r="C235" s="20"/>
    </row>
    <row r="236">
      <c r="A236" s="20"/>
      <c r="B236" s="20"/>
      <c r="C236" s="20"/>
    </row>
    <row r="237">
      <c r="A237" s="20"/>
      <c r="B237" s="20"/>
      <c r="C237" s="20"/>
    </row>
    <row r="238">
      <c r="A238" s="20"/>
      <c r="B238" s="20"/>
      <c r="C238" s="20"/>
    </row>
    <row r="239">
      <c r="A239" s="20"/>
      <c r="B239" s="20"/>
      <c r="C239" s="20"/>
    </row>
    <row r="240">
      <c r="A240" s="20"/>
      <c r="B240" s="20"/>
      <c r="C240" s="20"/>
    </row>
    <row r="241">
      <c r="A241" s="20"/>
      <c r="B241" s="20"/>
      <c r="C241" s="20"/>
    </row>
    <row r="242">
      <c r="A242" s="20"/>
      <c r="B242" s="20"/>
      <c r="C242" s="20"/>
    </row>
    <row r="243">
      <c r="A243" s="20"/>
      <c r="B243" s="20"/>
      <c r="C243" s="20"/>
    </row>
    <row r="244">
      <c r="A244" s="20"/>
      <c r="B244" s="20"/>
      <c r="C244" s="20"/>
    </row>
    <row r="245">
      <c r="A245" s="20"/>
      <c r="B245" s="20"/>
      <c r="C245" s="20"/>
    </row>
    <row r="246">
      <c r="A246" s="20"/>
      <c r="B246" s="20"/>
      <c r="C246" s="20"/>
    </row>
    <row r="247">
      <c r="A247" s="20"/>
      <c r="B247" s="20"/>
      <c r="C247" s="20"/>
    </row>
    <row r="248">
      <c r="A248" s="20"/>
      <c r="B248" s="20"/>
      <c r="C248" s="20"/>
    </row>
    <row r="249">
      <c r="A249" s="20"/>
      <c r="B249" s="20"/>
      <c r="C249" s="20"/>
    </row>
    <row r="250">
      <c r="A250" s="20"/>
      <c r="B250" s="20"/>
      <c r="C250" s="20"/>
    </row>
    <row r="251">
      <c r="A251" s="20"/>
      <c r="B251" s="20"/>
      <c r="C251" s="20"/>
    </row>
    <row r="252">
      <c r="A252" s="20"/>
      <c r="B252" s="20"/>
      <c r="C252" s="20"/>
    </row>
    <row r="253">
      <c r="A253" s="20"/>
      <c r="B253" s="20"/>
      <c r="C253" s="20"/>
    </row>
    <row r="254">
      <c r="A254" s="20"/>
      <c r="B254" s="20"/>
      <c r="C254" s="20"/>
    </row>
    <row r="255">
      <c r="A255" s="20"/>
      <c r="B255" s="20"/>
      <c r="C255" s="20"/>
    </row>
    <row r="256">
      <c r="A256" s="20"/>
      <c r="B256" s="20"/>
      <c r="C256" s="20"/>
    </row>
    <row r="257">
      <c r="A257" s="20"/>
      <c r="B257" s="20"/>
      <c r="C257" s="20"/>
    </row>
    <row r="258">
      <c r="A258" s="20"/>
      <c r="B258" s="20"/>
      <c r="C258" s="20"/>
    </row>
    <row r="259">
      <c r="A259" s="20"/>
      <c r="B259" s="20"/>
      <c r="C259" s="20"/>
    </row>
    <row r="260">
      <c r="A260" s="20"/>
      <c r="B260" s="20"/>
      <c r="C260" s="20"/>
    </row>
    <row r="261">
      <c r="A261" s="20"/>
      <c r="B261" s="20"/>
      <c r="C261" s="20"/>
    </row>
    <row r="262">
      <c r="A262" s="20"/>
      <c r="B262" s="20"/>
      <c r="C262" s="20"/>
    </row>
    <row r="263">
      <c r="A263" s="20"/>
      <c r="B263" s="20"/>
      <c r="C263" s="20"/>
    </row>
    <row r="264">
      <c r="A264" s="20"/>
      <c r="B264" s="20"/>
      <c r="C264" s="20"/>
    </row>
    <row r="265">
      <c r="A265" s="20"/>
      <c r="B265" s="20"/>
      <c r="C265" s="20"/>
    </row>
    <row r="266">
      <c r="A266" s="20"/>
      <c r="B266" s="20"/>
      <c r="C266" s="20"/>
    </row>
    <row r="267">
      <c r="A267" s="20"/>
      <c r="B267" s="20"/>
      <c r="C267" s="20"/>
    </row>
    <row r="268">
      <c r="A268" s="20"/>
      <c r="B268" s="20"/>
      <c r="C268" s="20"/>
    </row>
    <row r="269">
      <c r="A269" s="20"/>
      <c r="B269" s="20"/>
      <c r="C269" s="20"/>
    </row>
    <row r="270">
      <c r="A270" s="20"/>
      <c r="B270" s="20"/>
      <c r="C270" s="20"/>
    </row>
    <row r="271">
      <c r="A271" s="20"/>
      <c r="B271" s="20"/>
      <c r="C271" s="20"/>
    </row>
    <row r="272">
      <c r="A272" s="20"/>
      <c r="B272" s="20"/>
      <c r="C272" s="20"/>
    </row>
    <row r="273">
      <c r="A273" s="20"/>
      <c r="B273" s="20"/>
      <c r="C273" s="20"/>
    </row>
    <row r="274">
      <c r="A274" s="20"/>
      <c r="B274" s="20"/>
      <c r="C274" s="20"/>
    </row>
    <row r="275">
      <c r="A275" s="20"/>
      <c r="B275" s="20"/>
      <c r="C275" s="20"/>
    </row>
    <row r="276">
      <c r="A276" s="20"/>
      <c r="B276" s="20"/>
      <c r="C276" s="20"/>
    </row>
    <row r="277">
      <c r="A277" s="20"/>
      <c r="B277" s="20"/>
      <c r="C277" s="20"/>
    </row>
    <row r="278">
      <c r="A278" s="20"/>
      <c r="B278" s="20"/>
      <c r="C278" s="20"/>
    </row>
    <row r="279">
      <c r="A279" s="20"/>
      <c r="B279" s="20"/>
      <c r="C279" s="20"/>
    </row>
    <row r="280">
      <c r="A280" s="20"/>
      <c r="B280" s="20"/>
      <c r="C280" s="20"/>
    </row>
    <row r="281">
      <c r="A281" s="20"/>
      <c r="B281" s="20"/>
      <c r="C281" s="20"/>
    </row>
    <row r="282">
      <c r="A282" s="20"/>
      <c r="B282" s="20"/>
      <c r="C282" s="20"/>
    </row>
    <row r="283">
      <c r="A283" s="20"/>
      <c r="B283" s="20"/>
      <c r="C283" s="20"/>
    </row>
    <row r="284">
      <c r="A284" s="20"/>
      <c r="B284" s="20"/>
      <c r="C284" s="20"/>
    </row>
    <row r="285">
      <c r="A285" s="20"/>
      <c r="B285" s="20"/>
      <c r="C285" s="20"/>
    </row>
    <row r="286">
      <c r="A286" s="20"/>
      <c r="B286" s="20"/>
      <c r="C286" s="20"/>
    </row>
    <row r="287">
      <c r="A287" s="20"/>
      <c r="B287" s="20"/>
      <c r="C287" s="20"/>
    </row>
    <row r="288">
      <c r="A288" s="20"/>
      <c r="B288" s="20"/>
      <c r="C288" s="20"/>
    </row>
    <row r="289">
      <c r="A289" s="20"/>
      <c r="B289" s="20"/>
      <c r="C289" s="20"/>
    </row>
    <row r="290">
      <c r="A290" s="20"/>
      <c r="B290" s="20"/>
      <c r="C290" s="20"/>
    </row>
    <row r="291">
      <c r="A291" s="20"/>
      <c r="B291" s="20"/>
      <c r="C291" s="20"/>
    </row>
    <row r="292">
      <c r="A292" s="20"/>
      <c r="B292" s="20"/>
      <c r="C292" s="20"/>
    </row>
    <row r="293">
      <c r="A293" s="20"/>
      <c r="B293" s="20"/>
      <c r="C293" s="20"/>
    </row>
    <row r="294">
      <c r="A294" s="20"/>
      <c r="B294" s="20"/>
      <c r="C294" s="20"/>
    </row>
    <row r="295">
      <c r="A295" s="20"/>
      <c r="B295" s="20"/>
      <c r="C295" s="20"/>
    </row>
    <row r="296">
      <c r="A296" s="20"/>
      <c r="B296" s="20"/>
      <c r="C296" s="20"/>
    </row>
    <row r="297">
      <c r="A297" s="20"/>
      <c r="B297" s="20"/>
      <c r="C297" s="20"/>
    </row>
    <row r="298">
      <c r="A298" s="20"/>
      <c r="B298" s="20"/>
      <c r="C298" s="20"/>
    </row>
    <row r="299">
      <c r="A299" s="20"/>
      <c r="B299" s="20"/>
      <c r="C299" s="20"/>
    </row>
    <row r="300">
      <c r="A300" s="20"/>
      <c r="B300" s="20"/>
      <c r="C300" s="20"/>
    </row>
    <row r="301">
      <c r="A301" s="20"/>
      <c r="B301" s="20"/>
      <c r="C301" s="20"/>
    </row>
    <row r="302">
      <c r="A302" s="20"/>
      <c r="B302" s="20"/>
      <c r="C302" s="20"/>
    </row>
    <row r="303">
      <c r="A303" s="20"/>
      <c r="B303" s="20"/>
      <c r="C303" s="20"/>
    </row>
    <row r="304">
      <c r="A304" s="20"/>
      <c r="B304" s="20"/>
      <c r="C304" s="20"/>
    </row>
    <row r="305">
      <c r="A305" s="20"/>
      <c r="B305" s="20"/>
      <c r="C305" s="20"/>
    </row>
    <row r="306">
      <c r="A306" s="20"/>
      <c r="B306" s="20"/>
      <c r="C306" s="20"/>
    </row>
    <row r="307">
      <c r="A307" s="20"/>
      <c r="B307" s="20"/>
      <c r="C307" s="20"/>
    </row>
    <row r="308">
      <c r="A308" s="20"/>
      <c r="B308" s="20"/>
      <c r="C308" s="20"/>
    </row>
    <row r="309">
      <c r="A309" s="20"/>
      <c r="B309" s="20"/>
      <c r="C309" s="20"/>
    </row>
    <row r="310">
      <c r="A310" s="20"/>
      <c r="B310" s="20"/>
      <c r="C310" s="20"/>
    </row>
    <row r="311">
      <c r="A311" s="20"/>
      <c r="B311" s="20"/>
      <c r="C311" s="20"/>
    </row>
    <row r="312">
      <c r="A312" s="20"/>
      <c r="B312" s="20"/>
      <c r="C312" s="20"/>
    </row>
    <row r="313">
      <c r="A313" s="20"/>
      <c r="B313" s="20"/>
      <c r="C313" s="20"/>
    </row>
    <row r="314">
      <c r="A314" s="20"/>
      <c r="B314" s="20"/>
      <c r="C314" s="20"/>
    </row>
    <row r="315">
      <c r="A315" s="20"/>
      <c r="B315" s="20"/>
      <c r="C315" s="20"/>
    </row>
    <row r="316">
      <c r="A316" s="20"/>
      <c r="B316" s="20"/>
      <c r="C316" s="20"/>
    </row>
    <row r="317">
      <c r="A317" s="20"/>
      <c r="B317" s="20"/>
      <c r="C317" s="20"/>
    </row>
    <row r="318">
      <c r="A318" s="20"/>
      <c r="B318" s="20"/>
      <c r="C318" s="20"/>
    </row>
    <row r="319">
      <c r="A319" s="20"/>
      <c r="B319" s="20"/>
      <c r="C319" s="20"/>
    </row>
    <row r="320">
      <c r="A320" s="20"/>
      <c r="B320" s="20"/>
      <c r="C320" s="20"/>
    </row>
    <row r="321">
      <c r="A321" s="20"/>
      <c r="B321" s="20"/>
      <c r="C321" s="20"/>
    </row>
    <row r="322">
      <c r="A322" s="20"/>
      <c r="B322" s="20"/>
      <c r="C322" s="20"/>
    </row>
    <row r="323">
      <c r="A323" s="20"/>
      <c r="B323" s="20"/>
      <c r="C323" s="20"/>
    </row>
    <row r="324">
      <c r="A324" s="20"/>
      <c r="B324" s="20"/>
      <c r="C324" s="20"/>
    </row>
    <row r="325">
      <c r="A325" s="20"/>
      <c r="B325" s="20"/>
      <c r="C325" s="20"/>
    </row>
    <row r="326">
      <c r="A326" s="20"/>
      <c r="B326" s="20"/>
      <c r="C326" s="20"/>
    </row>
    <row r="327">
      <c r="A327" s="20"/>
      <c r="B327" s="20"/>
      <c r="C327" s="20"/>
    </row>
    <row r="328">
      <c r="A328" s="20"/>
      <c r="B328" s="20"/>
      <c r="C328" s="20"/>
    </row>
    <row r="329">
      <c r="A329" s="20"/>
      <c r="B329" s="20"/>
      <c r="C329" s="20"/>
    </row>
    <row r="330">
      <c r="A330" s="20"/>
      <c r="B330" s="20"/>
      <c r="C330" s="20"/>
    </row>
    <row r="331">
      <c r="A331" s="20"/>
      <c r="B331" s="20"/>
      <c r="C331" s="20"/>
    </row>
    <row r="332">
      <c r="A332" s="20"/>
      <c r="B332" s="20"/>
      <c r="C332" s="20"/>
    </row>
    <row r="333">
      <c r="A333" s="20"/>
      <c r="B333" s="20"/>
      <c r="C333" s="20"/>
    </row>
    <row r="334">
      <c r="A334" s="20"/>
      <c r="B334" s="20"/>
      <c r="C334" s="20"/>
    </row>
    <row r="335">
      <c r="A335" s="20"/>
      <c r="B335" s="20"/>
      <c r="C335" s="20"/>
    </row>
    <row r="336">
      <c r="A336" s="20"/>
      <c r="B336" s="20"/>
      <c r="C336" s="20"/>
    </row>
    <row r="337">
      <c r="A337" s="20"/>
      <c r="B337" s="20"/>
      <c r="C337" s="20"/>
    </row>
    <row r="338">
      <c r="A338" s="20"/>
      <c r="B338" s="20"/>
      <c r="C338" s="20"/>
    </row>
    <row r="339">
      <c r="A339" s="20"/>
      <c r="B339" s="20"/>
      <c r="C339" s="20"/>
    </row>
    <row r="340">
      <c r="A340" s="20"/>
      <c r="B340" s="20"/>
      <c r="C340" s="20"/>
    </row>
    <row r="341">
      <c r="A341" s="20"/>
      <c r="B341" s="20"/>
      <c r="C341" s="20"/>
    </row>
    <row r="342">
      <c r="A342" s="20"/>
      <c r="B342" s="20"/>
      <c r="C342" s="20"/>
    </row>
    <row r="343">
      <c r="A343" s="20"/>
      <c r="B343" s="20"/>
      <c r="C343" s="20"/>
    </row>
    <row r="344">
      <c r="A344" s="20"/>
      <c r="B344" s="20"/>
      <c r="C344" s="20"/>
    </row>
    <row r="345">
      <c r="A345" s="20"/>
      <c r="B345" s="20"/>
      <c r="C345" s="20"/>
    </row>
    <row r="346">
      <c r="A346" s="20"/>
      <c r="B346" s="20"/>
      <c r="C346" s="20"/>
    </row>
    <row r="347">
      <c r="A347" s="20"/>
      <c r="B347" s="20"/>
      <c r="C347" s="20"/>
    </row>
    <row r="348">
      <c r="A348" s="20"/>
      <c r="B348" s="20"/>
      <c r="C348" s="20"/>
    </row>
    <row r="349">
      <c r="A349" s="20"/>
      <c r="B349" s="20"/>
      <c r="C349" s="20"/>
    </row>
    <row r="350">
      <c r="A350" s="20"/>
      <c r="B350" s="20"/>
      <c r="C350" s="20"/>
    </row>
    <row r="351">
      <c r="A351" s="20"/>
      <c r="B351" s="20"/>
      <c r="C351" s="20"/>
    </row>
    <row r="352">
      <c r="A352" s="20"/>
      <c r="B352" s="20"/>
      <c r="C352" s="20"/>
    </row>
    <row r="353">
      <c r="A353" s="20"/>
      <c r="B353" s="20"/>
      <c r="C353" s="20"/>
    </row>
    <row r="354">
      <c r="A354" s="20"/>
      <c r="B354" s="20"/>
      <c r="C354" s="20"/>
    </row>
    <row r="355">
      <c r="A355" s="20"/>
      <c r="B355" s="20"/>
      <c r="C355" s="20"/>
    </row>
    <row r="356">
      <c r="A356" s="20"/>
      <c r="B356" s="20"/>
      <c r="C356" s="20"/>
    </row>
    <row r="357">
      <c r="A357" s="20"/>
      <c r="B357" s="20"/>
      <c r="C357" s="20"/>
    </row>
    <row r="358">
      <c r="A358" s="20"/>
      <c r="B358" s="20"/>
      <c r="C358" s="20"/>
    </row>
    <row r="359">
      <c r="A359" s="20"/>
      <c r="B359" s="20"/>
      <c r="C359" s="20"/>
    </row>
    <row r="360">
      <c r="A360" s="20"/>
      <c r="B360" s="20"/>
      <c r="C360" s="20"/>
    </row>
    <row r="361">
      <c r="A361" s="20"/>
      <c r="B361" s="20"/>
      <c r="C361" s="20"/>
    </row>
    <row r="362">
      <c r="A362" s="20"/>
      <c r="B362" s="20"/>
      <c r="C362" s="20"/>
    </row>
    <row r="363">
      <c r="A363" s="20"/>
      <c r="B363" s="20"/>
      <c r="C363" s="20"/>
    </row>
    <row r="364">
      <c r="A364" s="20"/>
      <c r="B364" s="20"/>
      <c r="C364" s="20"/>
    </row>
    <row r="365">
      <c r="A365" s="20"/>
      <c r="B365" s="20"/>
      <c r="C365" s="20"/>
    </row>
    <row r="366">
      <c r="A366" s="20"/>
      <c r="B366" s="20"/>
      <c r="C366" s="20"/>
    </row>
    <row r="367">
      <c r="A367" s="20"/>
      <c r="B367" s="20"/>
      <c r="C367" s="20"/>
    </row>
    <row r="368">
      <c r="A368" s="20"/>
      <c r="B368" s="20"/>
      <c r="C368" s="20"/>
    </row>
    <row r="369">
      <c r="A369" s="20"/>
      <c r="B369" s="20"/>
      <c r="C369" s="20"/>
    </row>
    <row r="370">
      <c r="A370" s="20"/>
      <c r="B370" s="20"/>
      <c r="C370" s="20"/>
    </row>
    <row r="371">
      <c r="A371" s="20"/>
      <c r="B371" s="20"/>
      <c r="C371" s="20"/>
    </row>
    <row r="372">
      <c r="A372" s="20"/>
      <c r="B372" s="20"/>
      <c r="C372" s="20"/>
    </row>
    <row r="373">
      <c r="A373" s="20"/>
      <c r="B373" s="20"/>
      <c r="C373" s="20"/>
    </row>
    <row r="374">
      <c r="A374" s="20"/>
      <c r="B374" s="20"/>
      <c r="C374" s="20"/>
    </row>
    <row r="375">
      <c r="A375" s="20"/>
      <c r="B375" s="20"/>
      <c r="C375" s="20"/>
    </row>
    <row r="376">
      <c r="A376" s="20"/>
      <c r="B376" s="20"/>
      <c r="C376" s="20"/>
    </row>
    <row r="377">
      <c r="A377" s="20"/>
      <c r="B377" s="20"/>
      <c r="C377" s="20"/>
    </row>
    <row r="378">
      <c r="A378" s="20"/>
      <c r="B378" s="20"/>
      <c r="C378" s="20"/>
    </row>
    <row r="379">
      <c r="A379" s="20"/>
      <c r="B379" s="20"/>
      <c r="C379" s="20"/>
    </row>
    <row r="380">
      <c r="A380" s="20"/>
      <c r="B380" s="20"/>
      <c r="C380" s="20"/>
    </row>
    <row r="381">
      <c r="A381" s="20"/>
      <c r="B381" s="20"/>
      <c r="C381" s="20"/>
    </row>
    <row r="382">
      <c r="A382" s="20"/>
      <c r="B382" s="20"/>
      <c r="C382" s="20"/>
    </row>
    <row r="383">
      <c r="A383" s="20"/>
      <c r="B383" s="20"/>
      <c r="C383" s="20"/>
    </row>
    <row r="384">
      <c r="A384" s="20"/>
      <c r="B384" s="20"/>
      <c r="C384" s="20"/>
    </row>
    <row r="385">
      <c r="A385" s="20"/>
      <c r="B385" s="20"/>
      <c r="C385" s="20"/>
    </row>
    <row r="386">
      <c r="A386" s="20"/>
      <c r="B386" s="20"/>
      <c r="C386" s="20"/>
    </row>
    <row r="387">
      <c r="A387" s="20"/>
      <c r="B387" s="20"/>
      <c r="C387" s="20"/>
    </row>
    <row r="388">
      <c r="A388" s="20"/>
      <c r="B388" s="20"/>
      <c r="C388" s="20"/>
    </row>
    <row r="389">
      <c r="A389" s="20"/>
      <c r="B389" s="20"/>
      <c r="C389" s="20"/>
    </row>
    <row r="390">
      <c r="A390" s="20"/>
      <c r="B390" s="20"/>
      <c r="C390" s="20"/>
    </row>
    <row r="391">
      <c r="A391" s="20"/>
      <c r="B391" s="20"/>
      <c r="C391" s="20"/>
    </row>
    <row r="392">
      <c r="A392" s="20"/>
      <c r="B392" s="20"/>
      <c r="C392" s="20"/>
    </row>
    <row r="393">
      <c r="A393" s="20"/>
      <c r="B393" s="20"/>
      <c r="C393" s="20"/>
    </row>
    <row r="394">
      <c r="A394" s="20"/>
      <c r="B394" s="20"/>
      <c r="C394" s="20"/>
    </row>
    <row r="395">
      <c r="A395" s="20"/>
      <c r="B395" s="20"/>
      <c r="C395" s="20"/>
    </row>
    <row r="396">
      <c r="A396" s="20"/>
      <c r="B396" s="20"/>
      <c r="C396" s="20"/>
    </row>
    <row r="397">
      <c r="A397" s="20"/>
      <c r="B397" s="20"/>
      <c r="C397" s="20"/>
    </row>
    <row r="398">
      <c r="A398" s="20"/>
      <c r="B398" s="20"/>
      <c r="C398" s="20"/>
    </row>
    <row r="399">
      <c r="A399" s="20"/>
      <c r="B399" s="20"/>
      <c r="C399" s="20"/>
    </row>
    <row r="400">
      <c r="A400" s="20"/>
      <c r="B400" s="20"/>
      <c r="C400" s="20"/>
    </row>
    <row r="401">
      <c r="A401" s="20"/>
      <c r="B401" s="20"/>
      <c r="C401" s="20"/>
    </row>
    <row r="402">
      <c r="A402" s="20"/>
      <c r="B402" s="20"/>
      <c r="C402" s="20"/>
    </row>
    <row r="403">
      <c r="A403" s="20"/>
      <c r="B403" s="20"/>
      <c r="C403" s="20"/>
    </row>
    <row r="404">
      <c r="A404" s="20"/>
      <c r="B404" s="20"/>
      <c r="C404" s="20"/>
    </row>
    <row r="405">
      <c r="A405" s="20"/>
      <c r="B405" s="20"/>
      <c r="C405" s="20"/>
    </row>
    <row r="406">
      <c r="A406" s="20"/>
      <c r="B406" s="20"/>
      <c r="C406" s="20"/>
    </row>
    <row r="407">
      <c r="A407" s="20"/>
      <c r="B407" s="20"/>
      <c r="C407" s="20"/>
    </row>
    <row r="408">
      <c r="A408" s="20"/>
      <c r="B408" s="20"/>
      <c r="C408" s="20"/>
    </row>
    <row r="409">
      <c r="A409" s="20"/>
      <c r="B409" s="20"/>
      <c r="C409" s="20"/>
    </row>
    <row r="410">
      <c r="A410" s="20"/>
      <c r="B410" s="20"/>
      <c r="C410" s="20"/>
    </row>
    <row r="411">
      <c r="A411" s="20"/>
      <c r="B411" s="20"/>
      <c r="C411" s="20"/>
    </row>
    <row r="412">
      <c r="A412" s="20"/>
      <c r="B412" s="20"/>
      <c r="C412" s="20"/>
    </row>
    <row r="413">
      <c r="A413" s="20"/>
      <c r="B413" s="20"/>
      <c r="C413" s="20"/>
    </row>
    <row r="414">
      <c r="A414" s="20"/>
      <c r="B414" s="20"/>
      <c r="C414" s="20"/>
    </row>
    <row r="415">
      <c r="A415" s="20"/>
      <c r="B415" s="20"/>
      <c r="C415" s="20"/>
    </row>
    <row r="416">
      <c r="A416" s="20"/>
      <c r="B416" s="20"/>
      <c r="C416" s="20"/>
    </row>
    <row r="417">
      <c r="A417" s="20"/>
      <c r="B417" s="20"/>
      <c r="C417" s="20"/>
    </row>
    <row r="418">
      <c r="A418" s="20"/>
      <c r="B418" s="20"/>
      <c r="C418" s="20"/>
    </row>
    <row r="419">
      <c r="A419" s="20"/>
      <c r="B419" s="20"/>
      <c r="C419" s="20"/>
    </row>
    <row r="420">
      <c r="A420" s="20"/>
      <c r="B420" s="20"/>
      <c r="C420" s="20"/>
    </row>
    <row r="421">
      <c r="A421" s="20"/>
      <c r="B421" s="20"/>
      <c r="C421" s="20"/>
    </row>
    <row r="422">
      <c r="A422" s="20"/>
      <c r="B422" s="20"/>
      <c r="C422" s="20"/>
    </row>
    <row r="423">
      <c r="A423" s="20"/>
      <c r="B423" s="20"/>
      <c r="C423" s="20"/>
    </row>
    <row r="424">
      <c r="A424" s="20"/>
      <c r="B424" s="20"/>
      <c r="C424" s="20"/>
    </row>
    <row r="425">
      <c r="A425" s="20"/>
      <c r="B425" s="20"/>
      <c r="C425" s="20"/>
    </row>
    <row r="426">
      <c r="A426" s="20"/>
      <c r="B426" s="20"/>
      <c r="C426" s="20"/>
    </row>
    <row r="427">
      <c r="A427" s="20"/>
      <c r="B427" s="20"/>
      <c r="C427" s="20"/>
    </row>
    <row r="428">
      <c r="A428" s="20"/>
      <c r="B428" s="20"/>
      <c r="C428" s="20"/>
    </row>
    <row r="429">
      <c r="A429" s="20"/>
      <c r="B429" s="20"/>
      <c r="C429" s="20"/>
    </row>
    <row r="430">
      <c r="A430" s="20"/>
      <c r="B430" s="20"/>
      <c r="C430" s="20"/>
    </row>
    <row r="431">
      <c r="A431" s="20"/>
      <c r="B431" s="20"/>
      <c r="C431" s="20"/>
    </row>
    <row r="432">
      <c r="A432" s="20"/>
      <c r="B432" s="20"/>
      <c r="C432" s="20"/>
    </row>
    <row r="433">
      <c r="A433" s="20"/>
      <c r="B433" s="20"/>
      <c r="C433" s="20"/>
    </row>
    <row r="434">
      <c r="A434" s="20"/>
      <c r="B434" s="20"/>
      <c r="C434" s="20"/>
    </row>
    <row r="435">
      <c r="A435" s="20"/>
      <c r="B435" s="20"/>
      <c r="C435" s="20"/>
    </row>
    <row r="436">
      <c r="A436" s="20"/>
      <c r="B436" s="20"/>
      <c r="C436" s="20"/>
    </row>
    <row r="437">
      <c r="A437" s="20"/>
      <c r="B437" s="20"/>
      <c r="C437" s="20"/>
    </row>
    <row r="438">
      <c r="A438" s="20"/>
      <c r="B438" s="20"/>
      <c r="C438" s="20"/>
    </row>
    <row r="439">
      <c r="A439" s="20"/>
      <c r="B439" s="20"/>
      <c r="C439" s="20"/>
    </row>
    <row r="440">
      <c r="A440" s="20"/>
      <c r="B440" s="20"/>
      <c r="C440" s="20"/>
    </row>
    <row r="441">
      <c r="A441" s="20"/>
      <c r="B441" s="20"/>
      <c r="C441" s="20"/>
    </row>
    <row r="442">
      <c r="A442" s="20"/>
      <c r="B442" s="20"/>
      <c r="C442" s="20"/>
    </row>
    <row r="443">
      <c r="A443" s="20"/>
      <c r="B443" s="20"/>
      <c r="C443" s="20"/>
    </row>
    <row r="444">
      <c r="A444" s="20"/>
      <c r="B444" s="20"/>
      <c r="C444" s="20"/>
    </row>
    <row r="445">
      <c r="A445" s="20"/>
      <c r="B445" s="20"/>
      <c r="C445" s="20"/>
    </row>
    <row r="446">
      <c r="A446" s="20"/>
      <c r="B446" s="20"/>
      <c r="C446" s="20"/>
    </row>
    <row r="447">
      <c r="A447" s="20"/>
      <c r="B447" s="20"/>
      <c r="C447" s="20"/>
    </row>
    <row r="448">
      <c r="A448" s="20"/>
      <c r="B448" s="20"/>
      <c r="C448" s="20"/>
    </row>
    <row r="449">
      <c r="A449" s="20"/>
      <c r="B449" s="20"/>
      <c r="C449" s="20"/>
    </row>
    <row r="450">
      <c r="A450" s="20"/>
      <c r="B450" s="20"/>
      <c r="C450" s="20"/>
    </row>
    <row r="451">
      <c r="A451" s="20"/>
      <c r="B451" s="20"/>
      <c r="C451" s="20"/>
    </row>
    <row r="452">
      <c r="A452" s="20"/>
      <c r="B452" s="20"/>
      <c r="C452" s="20"/>
    </row>
    <row r="453">
      <c r="A453" s="20"/>
      <c r="B453" s="20"/>
      <c r="C453" s="20"/>
    </row>
    <row r="454">
      <c r="A454" s="20"/>
      <c r="B454" s="20"/>
      <c r="C454" s="20"/>
    </row>
    <row r="455">
      <c r="A455" s="20"/>
      <c r="B455" s="20"/>
      <c r="C455" s="20"/>
    </row>
    <row r="456">
      <c r="A456" s="20"/>
      <c r="B456" s="20"/>
      <c r="C456" s="20"/>
    </row>
    <row r="457">
      <c r="A457" s="20"/>
      <c r="B457" s="20"/>
      <c r="C457" s="20"/>
    </row>
    <row r="458">
      <c r="A458" s="20"/>
      <c r="B458" s="20"/>
      <c r="C458" s="20"/>
    </row>
    <row r="459">
      <c r="A459" s="20"/>
      <c r="B459" s="20"/>
      <c r="C459" s="20"/>
    </row>
    <row r="460">
      <c r="A460" s="20"/>
      <c r="B460" s="20"/>
      <c r="C460" s="20"/>
    </row>
    <row r="461">
      <c r="A461" s="20"/>
      <c r="B461" s="20"/>
      <c r="C461" s="20"/>
    </row>
    <row r="462">
      <c r="A462" s="20"/>
      <c r="B462" s="20"/>
      <c r="C462" s="20"/>
    </row>
    <row r="463">
      <c r="A463" s="20"/>
      <c r="B463" s="20"/>
      <c r="C463" s="20"/>
    </row>
    <row r="464">
      <c r="A464" s="20"/>
      <c r="B464" s="20"/>
      <c r="C464" s="20"/>
    </row>
    <row r="465">
      <c r="A465" s="20"/>
      <c r="B465" s="20"/>
      <c r="C465" s="20"/>
    </row>
    <row r="466">
      <c r="A466" s="20"/>
      <c r="B466" s="20"/>
      <c r="C466" s="20"/>
    </row>
    <row r="467">
      <c r="A467" s="20"/>
      <c r="B467" s="20"/>
      <c r="C467" s="20"/>
    </row>
    <row r="468">
      <c r="A468" s="20"/>
      <c r="B468" s="20"/>
      <c r="C468" s="20"/>
    </row>
    <row r="469">
      <c r="A469" s="20"/>
      <c r="B469" s="20"/>
      <c r="C469" s="20"/>
    </row>
    <row r="470">
      <c r="A470" s="20"/>
      <c r="B470" s="20"/>
      <c r="C470" s="20"/>
    </row>
    <row r="471">
      <c r="A471" s="20"/>
      <c r="B471" s="20"/>
      <c r="C471" s="20"/>
    </row>
    <row r="472">
      <c r="A472" s="20"/>
      <c r="B472" s="20"/>
      <c r="C472" s="20"/>
    </row>
    <row r="473">
      <c r="A473" s="20"/>
      <c r="B473" s="20"/>
      <c r="C473" s="20"/>
    </row>
    <row r="474">
      <c r="A474" s="20"/>
      <c r="B474" s="20"/>
      <c r="C474" s="20"/>
    </row>
    <row r="475">
      <c r="A475" s="20"/>
      <c r="B475" s="20"/>
      <c r="C475" s="20"/>
    </row>
    <row r="476">
      <c r="A476" s="20"/>
      <c r="B476" s="20"/>
      <c r="C476" s="20"/>
    </row>
    <row r="477">
      <c r="A477" s="20"/>
      <c r="B477" s="20"/>
      <c r="C477" s="20"/>
    </row>
    <row r="478">
      <c r="A478" s="20"/>
      <c r="B478" s="20"/>
      <c r="C478" s="20"/>
    </row>
    <row r="479">
      <c r="A479" s="20"/>
      <c r="B479" s="20"/>
      <c r="C479" s="20"/>
    </row>
    <row r="480">
      <c r="A480" s="20"/>
      <c r="B480" s="20"/>
      <c r="C480" s="20"/>
    </row>
    <row r="481">
      <c r="A481" s="20"/>
      <c r="B481" s="20"/>
      <c r="C481" s="20"/>
    </row>
    <row r="482">
      <c r="A482" s="20"/>
      <c r="B482" s="20"/>
      <c r="C482" s="20"/>
    </row>
    <row r="483">
      <c r="A483" s="20"/>
      <c r="B483" s="20"/>
      <c r="C483" s="20"/>
    </row>
    <row r="484">
      <c r="A484" s="20"/>
      <c r="B484" s="20"/>
      <c r="C484" s="20"/>
    </row>
    <row r="485">
      <c r="A485" s="20"/>
      <c r="B485" s="20"/>
      <c r="C485" s="20"/>
    </row>
    <row r="486">
      <c r="A486" s="20"/>
      <c r="B486" s="20"/>
      <c r="C486" s="20"/>
    </row>
    <row r="487">
      <c r="A487" s="20"/>
      <c r="B487" s="20"/>
      <c r="C487" s="20"/>
    </row>
    <row r="488">
      <c r="A488" s="20"/>
      <c r="B488" s="20"/>
      <c r="C488" s="20"/>
    </row>
    <row r="489">
      <c r="A489" s="20"/>
      <c r="B489" s="20"/>
      <c r="C489" s="20"/>
    </row>
    <row r="490">
      <c r="A490" s="20"/>
      <c r="B490" s="20"/>
      <c r="C490" s="20"/>
    </row>
    <row r="491">
      <c r="A491" s="20"/>
      <c r="B491" s="20"/>
      <c r="C491" s="20"/>
    </row>
    <row r="492">
      <c r="A492" s="20"/>
      <c r="B492" s="20"/>
      <c r="C492" s="20"/>
    </row>
    <row r="493">
      <c r="A493" s="20"/>
      <c r="B493" s="20"/>
      <c r="C493" s="20"/>
    </row>
    <row r="494">
      <c r="A494" s="20"/>
      <c r="B494" s="20"/>
      <c r="C494" s="20"/>
    </row>
    <row r="495">
      <c r="A495" s="20"/>
      <c r="B495" s="20"/>
      <c r="C495" s="20"/>
    </row>
    <row r="496">
      <c r="A496" s="20"/>
      <c r="B496" s="20"/>
      <c r="C496" s="20"/>
    </row>
    <row r="497">
      <c r="A497" s="20"/>
      <c r="B497" s="20"/>
      <c r="C497" s="20"/>
    </row>
    <row r="498">
      <c r="A498" s="20"/>
      <c r="B498" s="20"/>
      <c r="C498" s="20"/>
    </row>
    <row r="499">
      <c r="A499" s="20"/>
      <c r="B499" s="20"/>
      <c r="C499" s="20"/>
    </row>
    <row r="500">
      <c r="A500" s="20"/>
      <c r="B500" s="20"/>
      <c r="C500" s="20"/>
    </row>
    <row r="501">
      <c r="A501" s="20"/>
      <c r="B501" s="20"/>
      <c r="C501" s="20"/>
    </row>
    <row r="502">
      <c r="A502" s="20"/>
      <c r="B502" s="20"/>
      <c r="C502" s="20"/>
    </row>
    <row r="503">
      <c r="A503" s="20"/>
      <c r="B503" s="20"/>
      <c r="C503" s="20"/>
    </row>
    <row r="504">
      <c r="A504" s="20"/>
      <c r="B504" s="20"/>
      <c r="C504" s="20"/>
    </row>
    <row r="505">
      <c r="A505" s="20"/>
      <c r="B505" s="20"/>
      <c r="C505" s="20"/>
    </row>
    <row r="506">
      <c r="A506" s="20"/>
      <c r="B506" s="20"/>
      <c r="C506" s="20"/>
    </row>
    <row r="507">
      <c r="A507" s="20"/>
      <c r="B507" s="20"/>
      <c r="C507" s="20"/>
    </row>
    <row r="508">
      <c r="A508" s="20"/>
      <c r="B508" s="20"/>
      <c r="C508" s="20"/>
    </row>
    <row r="509">
      <c r="A509" s="20"/>
      <c r="B509" s="20"/>
      <c r="C509" s="20"/>
    </row>
    <row r="510">
      <c r="A510" s="20"/>
      <c r="B510" s="20"/>
      <c r="C510" s="20"/>
    </row>
    <row r="511">
      <c r="A511" s="20"/>
      <c r="B511" s="20"/>
      <c r="C511" s="20"/>
    </row>
    <row r="512">
      <c r="A512" s="20"/>
      <c r="B512" s="20"/>
      <c r="C512" s="20"/>
    </row>
    <row r="513">
      <c r="A513" s="20"/>
      <c r="B513" s="20"/>
      <c r="C513" s="20"/>
    </row>
    <row r="514">
      <c r="A514" s="20"/>
      <c r="B514" s="20"/>
      <c r="C514" s="20"/>
    </row>
    <row r="515">
      <c r="A515" s="20"/>
      <c r="B515" s="20"/>
      <c r="C515" s="20"/>
    </row>
    <row r="516">
      <c r="A516" s="20"/>
      <c r="B516" s="20"/>
      <c r="C516" s="20"/>
    </row>
    <row r="517">
      <c r="A517" s="20"/>
      <c r="B517" s="20"/>
      <c r="C517" s="20"/>
    </row>
    <row r="518">
      <c r="A518" s="20"/>
      <c r="B518" s="20"/>
      <c r="C518" s="20"/>
    </row>
    <row r="519">
      <c r="A519" s="20"/>
      <c r="B519" s="20"/>
      <c r="C519" s="20"/>
    </row>
    <row r="520">
      <c r="A520" s="20"/>
      <c r="B520" s="20"/>
      <c r="C520" s="20"/>
    </row>
    <row r="521">
      <c r="A521" s="20"/>
      <c r="B521" s="20"/>
      <c r="C521" s="20"/>
    </row>
    <row r="522">
      <c r="A522" s="20"/>
      <c r="B522" s="20"/>
      <c r="C522" s="20"/>
    </row>
    <row r="523">
      <c r="A523" s="20"/>
      <c r="B523" s="20"/>
      <c r="C523" s="20"/>
    </row>
    <row r="524">
      <c r="A524" s="20"/>
      <c r="B524" s="20"/>
      <c r="C524" s="20"/>
    </row>
    <row r="525">
      <c r="A525" s="20"/>
      <c r="B525" s="20"/>
      <c r="C525" s="20"/>
    </row>
    <row r="526">
      <c r="A526" s="20"/>
      <c r="B526" s="20"/>
      <c r="C526" s="20"/>
    </row>
    <row r="527">
      <c r="A527" s="20"/>
      <c r="B527" s="20"/>
      <c r="C527" s="20"/>
    </row>
    <row r="528">
      <c r="A528" s="20"/>
      <c r="B528" s="20"/>
      <c r="C528" s="20"/>
    </row>
    <row r="529">
      <c r="A529" s="20"/>
      <c r="B529" s="20"/>
      <c r="C529" s="20"/>
    </row>
    <row r="530">
      <c r="A530" s="20"/>
      <c r="B530" s="20"/>
      <c r="C530" s="20"/>
    </row>
    <row r="531">
      <c r="A531" s="20"/>
      <c r="B531" s="20"/>
      <c r="C531" s="20"/>
    </row>
    <row r="532">
      <c r="A532" s="20"/>
      <c r="B532" s="20"/>
      <c r="C532" s="20"/>
    </row>
    <row r="533">
      <c r="A533" s="20"/>
      <c r="B533" s="20"/>
      <c r="C533" s="20"/>
    </row>
    <row r="534">
      <c r="A534" s="20"/>
      <c r="B534" s="20"/>
      <c r="C534" s="20"/>
    </row>
    <row r="535">
      <c r="A535" s="20"/>
      <c r="B535" s="20"/>
      <c r="C535" s="20"/>
    </row>
    <row r="536">
      <c r="A536" s="20"/>
      <c r="B536" s="20"/>
      <c r="C536" s="20"/>
    </row>
    <row r="537">
      <c r="A537" s="20"/>
      <c r="B537" s="20"/>
      <c r="C537" s="20"/>
    </row>
    <row r="538">
      <c r="A538" s="20"/>
      <c r="B538" s="20"/>
      <c r="C538" s="20"/>
    </row>
    <row r="539">
      <c r="A539" s="20"/>
      <c r="B539" s="20"/>
      <c r="C539" s="20"/>
    </row>
    <row r="540">
      <c r="A540" s="20"/>
      <c r="B540" s="20"/>
      <c r="C540" s="20"/>
    </row>
    <row r="541">
      <c r="A541" s="20"/>
      <c r="B541" s="20"/>
      <c r="C541" s="20"/>
    </row>
    <row r="542">
      <c r="A542" s="20"/>
      <c r="B542" s="20"/>
      <c r="C542" s="20"/>
    </row>
    <row r="543">
      <c r="A543" s="20"/>
      <c r="B543" s="20"/>
      <c r="C543" s="20"/>
    </row>
    <row r="544">
      <c r="A544" s="20"/>
      <c r="B544" s="20"/>
      <c r="C544" s="20"/>
    </row>
    <row r="545">
      <c r="A545" s="20"/>
      <c r="B545" s="20"/>
      <c r="C545" s="20"/>
    </row>
    <row r="546">
      <c r="A546" s="20"/>
      <c r="B546" s="20"/>
      <c r="C546" s="20"/>
    </row>
    <row r="547">
      <c r="A547" s="20"/>
      <c r="B547" s="20"/>
      <c r="C547" s="20"/>
    </row>
    <row r="548">
      <c r="A548" s="20"/>
      <c r="B548" s="20"/>
      <c r="C548" s="20"/>
    </row>
    <row r="549">
      <c r="A549" s="20"/>
      <c r="B549" s="20"/>
      <c r="C549" s="20"/>
    </row>
    <row r="550">
      <c r="A550" s="20"/>
      <c r="B550" s="20"/>
      <c r="C550" s="20"/>
    </row>
    <row r="551">
      <c r="A551" s="20"/>
      <c r="B551" s="20"/>
      <c r="C551" s="20"/>
    </row>
    <row r="552">
      <c r="A552" s="20"/>
      <c r="B552" s="20"/>
      <c r="C552" s="20"/>
    </row>
    <row r="553">
      <c r="A553" s="20"/>
      <c r="B553" s="20"/>
      <c r="C553" s="20"/>
    </row>
    <row r="554">
      <c r="A554" s="20"/>
      <c r="B554" s="20"/>
      <c r="C554" s="20"/>
    </row>
    <row r="555">
      <c r="A555" s="20"/>
      <c r="B555" s="20"/>
      <c r="C555" s="20"/>
    </row>
    <row r="556">
      <c r="A556" s="20"/>
      <c r="B556" s="20"/>
      <c r="C556" s="20"/>
    </row>
    <row r="557">
      <c r="A557" s="20"/>
      <c r="B557" s="20"/>
      <c r="C557" s="20"/>
    </row>
    <row r="558">
      <c r="A558" s="20"/>
      <c r="B558" s="20"/>
      <c r="C558" s="20"/>
    </row>
    <row r="559">
      <c r="A559" s="20"/>
      <c r="B559" s="20"/>
      <c r="C559" s="20"/>
    </row>
    <row r="560">
      <c r="A560" s="20"/>
      <c r="B560" s="20"/>
      <c r="C560" s="20"/>
    </row>
    <row r="561">
      <c r="A561" s="20"/>
      <c r="B561" s="20"/>
      <c r="C561" s="20"/>
    </row>
    <row r="562">
      <c r="A562" s="20"/>
      <c r="B562" s="20"/>
      <c r="C562" s="20"/>
    </row>
    <row r="563">
      <c r="A563" s="20"/>
      <c r="B563" s="20"/>
      <c r="C563" s="20"/>
    </row>
    <row r="564">
      <c r="A564" s="20"/>
      <c r="B564" s="20"/>
      <c r="C564" s="20"/>
    </row>
    <row r="565">
      <c r="A565" s="20"/>
      <c r="B565" s="20"/>
      <c r="C565" s="20"/>
    </row>
    <row r="566">
      <c r="A566" s="20"/>
      <c r="B566" s="20"/>
      <c r="C566" s="20"/>
    </row>
    <row r="567">
      <c r="A567" s="20"/>
      <c r="B567" s="20"/>
      <c r="C567" s="20"/>
    </row>
    <row r="568">
      <c r="A568" s="20"/>
      <c r="B568" s="20"/>
      <c r="C568" s="20"/>
    </row>
    <row r="569">
      <c r="A569" s="20"/>
      <c r="B569" s="20"/>
      <c r="C569" s="20"/>
    </row>
    <row r="570">
      <c r="A570" s="20"/>
      <c r="B570" s="20"/>
      <c r="C570" s="20"/>
    </row>
    <row r="571">
      <c r="A571" s="20"/>
      <c r="B571" s="20"/>
      <c r="C571" s="20"/>
    </row>
    <row r="572">
      <c r="A572" s="20"/>
      <c r="B572" s="20"/>
      <c r="C572" s="20"/>
    </row>
    <row r="573">
      <c r="A573" s="20"/>
      <c r="B573" s="20"/>
      <c r="C573" s="20"/>
    </row>
    <row r="574">
      <c r="A574" s="20"/>
      <c r="B574" s="20"/>
      <c r="C574" s="20"/>
    </row>
    <row r="575">
      <c r="A575" s="20"/>
      <c r="B575" s="20"/>
      <c r="C575" s="20"/>
    </row>
    <row r="576">
      <c r="A576" s="20"/>
      <c r="B576" s="20"/>
      <c r="C576" s="20"/>
    </row>
    <row r="577">
      <c r="A577" s="20"/>
      <c r="B577" s="20"/>
      <c r="C577" s="20"/>
    </row>
    <row r="578">
      <c r="A578" s="20"/>
      <c r="B578" s="20"/>
      <c r="C578" s="20"/>
    </row>
    <row r="579">
      <c r="A579" s="20"/>
      <c r="B579" s="20"/>
      <c r="C579" s="20"/>
    </row>
    <row r="580">
      <c r="A580" s="20"/>
      <c r="B580" s="20"/>
      <c r="C580" s="20"/>
    </row>
    <row r="581">
      <c r="A581" s="20"/>
      <c r="B581" s="20"/>
      <c r="C581" s="20"/>
    </row>
    <row r="582">
      <c r="A582" s="20"/>
      <c r="B582" s="20"/>
      <c r="C582" s="20"/>
    </row>
    <row r="583">
      <c r="A583" s="20"/>
      <c r="B583" s="20"/>
      <c r="C583" s="20"/>
    </row>
    <row r="584">
      <c r="A584" s="20"/>
      <c r="B584" s="20"/>
      <c r="C584" s="20"/>
    </row>
    <row r="585">
      <c r="A585" s="20"/>
      <c r="B585" s="20"/>
      <c r="C585" s="20"/>
    </row>
    <row r="586">
      <c r="A586" s="20"/>
      <c r="B586" s="20"/>
      <c r="C586" s="20"/>
    </row>
    <row r="587">
      <c r="A587" s="20"/>
      <c r="B587" s="20"/>
      <c r="C587" s="20"/>
    </row>
    <row r="588">
      <c r="A588" s="20"/>
      <c r="B588" s="20"/>
      <c r="C588" s="20"/>
    </row>
    <row r="589">
      <c r="A589" s="20"/>
      <c r="B589" s="20"/>
      <c r="C589" s="20"/>
    </row>
    <row r="590">
      <c r="A590" s="20"/>
      <c r="B590" s="20"/>
      <c r="C590" s="20"/>
    </row>
    <row r="591">
      <c r="A591" s="20"/>
      <c r="B591" s="20"/>
      <c r="C591" s="20"/>
    </row>
    <row r="592">
      <c r="A592" s="20"/>
      <c r="B592" s="20"/>
      <c r="C592" s="20"/>
    </row>
    <row r="593">
      <c r="A593" s="20"/>
      <c r="B593" s="20"/>
      <c r="C593" s="20"/>
    </row>
    <row r="594">
      <c r="A594" s="20"/>
      <c r="B594" s="20"/>
      <c r="C594" s="20"/>
    </row>
    <row r="595">
      <c r="A595" s="20"/>
      <c r="B595" s="20"/>
      <c r="C595" s="20"/>
    </row>
    <row r="596">
      <c r="A596" s="20"/>
      <c r="B596" s="20"/>
      <c r="C596" s="20"/>
    </row>
    <row r="597">
      <c r="A597" s="20"/>
      <c r="B597" s="20"/>
      <c r="C597" s="20"/>
    </row>
    <row r="598">
      <c r="A598" s="20"/>
      <c r="B598" s="20"/>
      <c r="C598" s="20"/>
    </row>
    <row r="599">
      <c r="A599" s="20"/>
      <c r="B599" s="20"/>
      <c r="C599" s="20"/>
    </row>
    <row r="600">
      <c r="A600" s="20"/>
      <c r="B600" s="20"/>
      <c r="C600" s="20"/>
    </row>
    <row r="601">
      <c r="A601" s="20"/>
      <c r="B601" s="20"/>
      <c r="C601" s="20"/>
    </row>
    <row r="602">
      <c r="A602" s="20"/>
      <c r="B602" s="20"/>
      <c r="C602" s="20"/>
    </row>
    <row r="603">
      <c r="A603" s="20"/>
      <c r="B603" s="20"/>
      <c r="C603" s="20"/>
    </row>
    <row r="604">
      <c r="A604" s="20"/>
      <c r="B604" s="20"/>
      <c r="C604" s="20"/>
    </row>
    <row r="605">
      <c r="A605" s="20"/>
      <c r="B605" s="20"/>
      <c r="C605" s="20"/>
    </row>
    <row r="606">
      <c r="A606" s="20"/>
      <c r="B606" s="20"/>
      <c r="C606" s="20"/>
    </row>
    <row r="607">
      <c r="A607" s="20"/>
      <c r="B607" s="20"/>
      <c r="C607" s="20"/>
    </row>
    <row r="608">
      <c r="A608" s="20"/>
      <c r="B608" s="20"/>
      <c r="C608" s="20"/>
    </row>
    <row r="609">
      <c r="A609" s="20"/>
      <c r="B609" s="20"/>
      <c r="C609" s="20"/>
    </row>
    <row r="610">
      <c r="A610" s="20"/>
      <c r="B610" s="20"/>
      <c r="C610" s="20"/>
    </row>
    <row r="611">
      <c r="A611" s="20"/>
      <c r="B611" s="20"/>
      <c r="C611" s="20"/>
    </row>
    <row r="612">
      <c r="A612" s="20"/>
      <c r="B612" s="20"/>
      <c r="C612" s="20"/>
    </row>
    <row r="613">
      <c r="A613" s="20"/>
      <c r="B613" s="20"/>
      <c r="C613" s="20"/>
    </row>
    <row r="614">
      <c r="A614" s="20"/>
      <c r="B614" s="20"/>
      <c r="C614" s="20"/>
    </row>
    <row r="615">
      <c r="A615" s="20"/>
      <c r="B615" s="20"/>
      <c r="C615" s="20"/>
    </row>
    <row r="616">
      <c r="A616" s="20"/>
      <c r="B616" s="20"/>
      <c r="C616" s="20"/>
    </row>
    <row r="617">
      <c r="A617" s="20"/>
      <c r="B617" s="20"/>
      <c r="C617" s="20"/>
    </row>
    <row r="618">
      <c r="A618" s="20"/>
      <c r="B618" s="20"/>
      <c r="C618" s="20"/>
    </row>
    <row r="619">
      <c r="A619" s="20"/>
      <c r="B619" s="20"/>
      <c r="C619" s="20"/>
    </row>
    <row r="620">
      <c r="A620" s="20"/>
      <c r="B620" s="20"/>
      <c r="C620" s="20"/>
    </row>
    <row r="621">
      <c r="A621" s="20"/>
      <c r="B621" s="20"/>
      <c r="C621" s="20"/>
    </row>
    <row r="622">
      <c r="A622" s="20"/>
      <c r="B622" s="20"/>
      <c r="C622" s="20"/>
    </row>
    <row r="623">
      <c r="A623" s="20"/>
      <c r="B623" s="20"/>
      <c r="C623" s="20"/>
    </row>
    <row r="624">
      <c r="A624" s="20"/>
      <c r="B624" s="20"/>
      <c r="C624" s="20"/>
    </row>
    <row r="625">
      <c r="A625" s="20"/>
      <c r="B625" s="20"/>
      <c r="C625" s="20"/>
    </row>
    <row r="626">
      <c r="A626" s="20"/>
      <c r="B626" s="20"/>
      <c r="C626" s="20"/>
    </row>
    <row r="627">
      <c r="A627" s="20"/>
      <c r="B627" s="20"/>
      <c r="C627" s="20"/>
    </row>
    <row r="628">
      <c r="A628" s="20"/>
      <c r="B628" s="20"/>
      <c r="C628" s="20"/>
    </row>
    <row r="629">
      <c r="A629" s="20"/>
      <c r="B629" s="20"/>
      <c r="C629" s="20"/>
    </row>
    <row r="630">
      <c r="A630" s="20"/>
      <c r="B630" s="20"/>
      <c r="C630" s="20"/>
    </row>
    <row r="631">
      <c r="A631" s="20"/>
      <c r="B631" s="20"/>
      <c r="C631" s="20"/>
    </row>
    <row r="632">
      <c r="A632" s="20"/>
      <c r="B632" s="20"/>
      <c r="C632" s="20"/>
    </row>
    <row r="633">
      <c r="A633" s="20"/>
      <c r="B633" s="20"/>
      <c r="C633" s="20"/>
    </row>
    <row r="634">
      <c r="A634" s="20"/>
      <c r="B634" s="20"/>
      <c r="C634" s="20"/>
    </row>
    <row r="635">
      <c r="A635" s="20"/>
      <c r="B635" s="20"/>
      <c r="C635" s="20"/>
    </row>
    <row r="636">
      <c r="A636" s="20"/>
      <c r="B636" s="20"/>
      <c r="C636" s="20"/>
    </row>
    <row r="637">
      <c r="A637" s="20"/>
      <c r="B637" s="20"/>
      <c r="C637" s="20"/>
    </row>
    <row r="638">
      <c r="A638" s="20"/>
      <c r="B638" s="20"/>
      <c r="C638" s="20"/>
    </row>
    <row r="639">
      <c r="A639" s="20"/>
      <c r="B639" s="20"/>
      <c r="C639" s="20"/>
    </row>
    <row r="640">
      <c r="A640" s="20"/>
      <c r="B640" s="20"/>
      <c r="C640" s="20"/>
    </row>
    <row r="641">
      <c r="A641" s="20"/>
      <c r="B641" s="20"/>
      <c r="C641" s="20"/>
    </row>
    <row r="642">
      <c r="A642" s="20"/>
      <c r="B642" s="20"/>
      <c r="C642" s="20"/>
    </row>
    <row r="643">
      <c r="A643" s="20"/>
      <c r="B643" s="20"/>
      <c r="C643" s="20"/>
    </row>
    <row r="644">
      <c r="A644" s="20"/>
      <c r="B644" s="20"/>
      <c r="C644" s="20"/>
    </row>
    <row r="645">
      <c r="A645" s="20"/>
      <c r="B645" s="20"/>
      <c r="C645" s="20"/>
    </row>
    <row r="646">
      <c r="A646" s="20"/>
      <c r="B646" s="20"/>
      <c r="C646" s="20"/>
    </row>
    <row r="647">
      <c r="A647" s="20"/>
      <c r="B647" s="20"/>
      <c r="C647" s="20"/>
    </row>
    <row r="648">
      <c r="A648" s="20"/>
      <c r="B648" s="20"/>
      <c r="C648" s="20"/>
    </row>
    <row r="649">
      <c r="A649" s="20"/>
      <c r="B649" s="20"/>
      <c r="C649" s="20"/>
    </row>
    <row r="650">
      <c r="A650" s="20"/>
      <c r="B650" s="20"/>
      <c r="C650" s="20"/>
    </row>
    <row r="651">
      <c r="A651" s="20"/>
      <c r="B651" s="20"/>
      <c r="C651" s="20"/>
    </row>
    <row r="652">
      <c r="A652" s="20"/>
      <c r="B652" s="20"/>
      <c r="C652" s="20"/>
    </row>
    <row r="653">
      <c r="A653" s="20"/>
      <c r="B653" s="20"/>
      <c r="C653" s="20"/>
    </row>
    <row r="654">
      <c r="A654" s="20"/>
      <c r="B654" s="20"/>
      <c r="C654" s="20"/>
    </row>
    <row r="655">
      <c r="A655" s="20"/>
      <c r="B655" s="20"/>
      <c r="C655" s="20"/>
    </row>
    <row r="656">
      <c r="A656" s="20"/>
      <c r="B656" s="20"/>
      <c r="C656" s="20"/>
    </row>
    <row r="657">
      <c r="A657" s="20"/>
      <c r="B657" s="20"/>
      <c r="C657" s="20"/>
    </row>
    <row r="658">
      <c r="A658" s="20"/>
      <c r="B658" s="20"/>
      <c r="C658" s="20"/>
    </row>
    <row r="659">
      <c r="A659" s="20"/>
      <c r="B659" s="20"/>
      <c r="C659" s="20"/>
    </row>
    <row r="660">
      <c r="A660" s="20"/>
      <c r="B660" s="20"/>
      <c r="C660" s="20"/>
    </row>
    <row r="661">
      <c r="A661" s="20"/>
      <c r="B661" s="20"/>
      <c r="C661" s="20"/>
    </row>
    <row r="662">
      <c r="A662" s="20"/>
      <c r="B662" s="20"/>
      <c r="C662" s="20"/>
    </row>
    <row r="663">
      <c r="A663" s="20"/>
      <c r="B663" s="20"/>
      <c r="C663" s="20"/>
    </row>
    <row r="664">
      <c r="A664" s="20"/>
      <c r="B664" s="20"/>
      <c r="C664" s="20"/>
    </row>
    <row r="665">
      <c r="A665" s="20"/>
      <c r="B665" s="20"/>
      <c r="C665" s="20"/>
    </row>
    <row r="666">
      <c r="A666" s="20"/>
      <c r="B666" s="20"/>
      <c r="C666" s="20"/>
    </row>
    <row r="667">
      <c r="A667" s="20"/>
      <c r="B667" s="20"/>
      <c r="C667" s="20"/>
    </row>
    <row r="668">
      <c r="A668" s="20"/>
      <c r="B668" s="20"/>
      <c r="C668" s="20"/>
    </row>
    <row r="669">
      <c r="A669" s="20"/>
      <c r="B669" s="20"/>
      <c r="C669" s="20"/>
    </row>
    <row r="670">
      <c r="A670" s="20"/>
      <c r="B670" s="20"/>
      <c r="C670" s="20"/>
    </row>
    <row r="671">
      <c r="A671" s="20"/>
      <c r="B671" s="20"/>
      <c r="C671" s="20"/>
    </row>
    <row r="672">
      <c r="A672" s="20"/>
      <c r="B672" s="20"/>
      <c r="C672" s="20"/>
    </row>
    <row r="673">
      <c r="A673" s="20"/>
      <c r="B673" s="20"/>
      <c r="C673" s="20"/>
    </row>
    <row r="674">
      <c r="A674" s="20"/>
      <c r="B674" s="20"/>
      <c r="C674" s="20"/>
    </row>
    <row r="675">
      <c r="A675" s="20"/>
      <c r="B675" s="20"/>
      <c r="C675" s="20"/>
    </row>
    <row r="676">
      <c r="A676" s="20"/>
      <c r="B676" s="20"/>
      <c r="C676" s="20"/>
    </row>
    <row r="677">
      <c r="A677" s="20"/>
      <c r="B677" s="20"/>
      <c r="C677" s="20"/>
    </row>
    <row r="678">
      <c r="A678" s="20"/>
      <c r="B678" s="20"/>
      <c r="C678" s="20"/>
    </row>
    <row r="679">
      <c r="A679" s="20"/>
      <c r="B679" s="20"/>
      <c r="C679" s="20"/>
    </row>
    <row r="680">
      <c r="A680" s="20"/>
      <c r="B680" s="20"/>
      <c r="C680" s="20"/>
    </row>
    <row r="681">
      <c r="A681" s="20"/>
      <c r="B681" s="20"/>
      <c r="C681" s="20"/>
    </row>
    <row r="682">
      <c r="A682" s="20"/>
      <c r="B682" s="20"/>
      <c r="C682" s="20"/>
    </row>
    <row r="683">
      <c r="A683" s="20"/>
      <c r="B683" s="20"/>
      <c r="C683" s="20"/>
    </row>
    <row r="684">
      <c r="A684" s="20"/>
      <c r="B684" s="20"/>
      <c r="C684" s="20"/>
    </row>
    <row r="685">
      <c r="A685" s="20"/>
      <c r="B685" s="20"/>
      <c r="C685" s="20"/>
    </row>
    <row r="686">
      <c r="A686" s="20"/>
      <c r="B686" s="20"/>
      <c r="C686" s="20"/>
    </row>
    <row r="687">
      <c r="A687" s="20"/>
      <c r="B687" s="20"/>
      <c r="C687" s="20"/>
    </row>
    <row r="688">
      <c r="A688" s="20"/>
      <c r="B688" s="20"/>
      <c r="C688" s="20"/>
    </row>
    <row r="689">
      <c r="A689" s="20"/>
      <c r="B689" s="20"/>
      <c r="C689" s="20"/>
    </row>
    <row r="690">
      <c r="A690" s="20"/>
      <c r="B690" s="20"/>
      <c r="C690" s="20"/>
    </row>
    <row r="691">
      <c r="A691" s="20"/>
      <c r="B691" s="20"/>
      <c r="C691" s="20"/>
    </row>
    <row r="692">
      <c r="A692" s="20"/>
      <c r="B692" s="20"/>
      <c r="C692" s="20"/>
    </row>
    <row r="693">
      <c r="A693" s="20"/>
      <c r="B693" s="20"/>
      <c r="C693" s="20"/>
    </row>
    <row r="694">
      <c r="A694" s="20"/>
      <c r="B694" s="20"/>
      <c r="C694" s="20"/>
    </row>
    <row r="695">
      <c r="A695" s="20"/>
      <c r="B695" s="20"/>
      <c r="C695" s="20"/>
    </row>
    <row r="696">
      <c r="A696" s="20"/>
      <c r="B696" s="20"/>
      <c r="C696" s="20"/>
    </row>
    <row r="697">
      <c r="A697" s="20"/>
      <c r="B697" s="20"/>
      <c r="C697" s="20"/>
    </row>
    <row r="698">
      <c r="A698" s="20"/>
      <c r="B698" s="20"/>
      <c r="C698" s="20"/>
    </row>
    <row r="699">
      <c r="A699" s="20"/>
      <c r="B699" s="20"/>
      <c r="C699" s="20"/>
    </row>
    <row r="700">
      <c r="A700" s="20"/>
      <c r="B700" s="20"/>
      <c r="C700" s="20"/>
    </row>
    <row r="701">
      <c r="A701" s="20"/>
      <c r="B701" s="20"/>
      <c r="C701" s="20"/>
    </row>
    <row r="702">
      <c r="A702" s="20"/>
      <c r="B702" s="20"/>
      <c r="C702" s="20"/>
    </row>
    <row r="703">
      <c r="A703" s="20"/>
      <c r="B703" s="20"/>
      <c r="C703" s="20"/>
    </row>
    <row r="704">
      <c r="A704" s="20"/>
      <c r="B704" s="20"/>
      <c r="C704" s="20"/>
    </row>
    <row r="705">
      <c r="A705" s="20"/>
      <c r="B705" s="20"/>
      <c r="C705" s="20"/>
    </row>
    <row r="706">
      <c r="A706" s="20"/>
      <c r="B706" s="20"/>
      <c r="C706" s="20"/>
    </row>
    <row r="707">
      <c r="A707" s="20"/>
      <c r="B707" s="20"/>
      <c r="C707" s="20"/>
    </row>
    <row r="708">
      <c r="A708" s="20"/>
      <c r="B708" s="20"/>
      <c r="C708" s="20"/>
    </row>
    <row r="709">
      <c r="A709" s="20"/>
      <c r="B709" s="20"/>
      <c r="C709" s="20"/>
    </row>
    <row r="710">
      <c r="A710" s="20"/>
      <c r="B710" s="20"/>
      <c r="C710" s="20"/>
    </row>
    <row r="711">
      <c r="A711" s="20"/>
      <c r="B711" s="20"/>
      <c r="C711" s="20"/>
    </row>
    <row r="712">
      <c r="A712" s="20"/>
      <c r="B712" s="20"/>
      <c r="C712" s="20"/>
    </row>
    <row r="713">
      <c r="A713" s="20"/>
      <c r="B713" s="20"/>
      <c r="C713" s="20"/>
    </row>
    <row r="714">
      <c r="A714" s="20"/>
      <c r="B714" s="20"/>
      <c r="C714" s="20"/>
    </row>
    <row r="715">
      <c r="A715" s="20"/>
      <c r="B715" s="20"/>
      <c r="C715" s="20"/>
    </row>
    <row r="716">
      <c r="A716" s="20"/>
      <c r="B716" s="20"/>
      <c r="C716" s="20"/>
    </row>
    <row r="717">
      <c r="A717" s="20"/>
      <c r="B717" s="20"/>
      <c r="C717" s="20"/>
    </row>
    <row r="718">
      <c r="A718" s="20"/>
      <c r="B718" s="20"/>
      <c r="C718" s="20"/>
    </row>
    <row r="719">
      <c r="A719" s="20"/>
      <c r="B719" s="20"/>
      <c r="C719" s="20"/>
    </row>
    <row r="720">
      <c r="A720" s="20"/>
      <c r="B720" s="20"/>
      <c r="C720" s="20"/>
    </row>
    <row r="721">
      <c r="A721" s="20"/>
      <c r="B721" s="20"/>
      <c r="C721" s="20"/>
    </row>
    <row r="722">
      <c r="A722" s="20"/>
      <c r="B722" s="20"/>
      <c r="C722" s="20"/>
    </row>
    <row r="723">
      <c r="A723" s="20"/>
      <c r="B723" s="20"/>
      <c r="C723" s="20"/>
    </row>
    <row r="724">
      <c r="A724" s="20"/>
      <c r="B724" s="20"/>
      <c r="C724" s="20"/>
    </row>
    <row r="725">
      <c r="A725" s="20"/>
      <c r="B725" s="20"/>
      <c r="C725" s="20"/>
    </row>
    <row r="726">
      <c r="A726" s="20"/>
      <c r="B726" s="20"/>
      <c r="C726" s="20"/>
    </row>
    <row r="727">
      <c r="A727" s="20"/>
      <c r="B727" s="20"/>
      <c r="C727" s="20"/>
    </row>
    <row r="728">
      <c r="A728" s="20"/>
      <c r="B728" s="20"/>
      <c r="C728" s="20"/>
    </row>
    <row r="729">
      <c r="A729" s="20"/>
      <c r="B729" s="20"/>
      <c r="C729" s="20"/>
    </row>
    <row r="730">
      <c r="A730" s="20"/>
      <c r="B730" s="20"/>
      <c r="C730" s="20"/>
    </row>
    <row r="731">
      <c r="A731" s="20"/>
      <c r="B731" s="20"/>
      <c r="C731" s="20"/>
    </row>
    <row r="732">
      <c r="A732" s="20"/>
      <c r="B732" s="20"/>
      <c r="C732" s="20"/>
    </row>
    <row r="733">
      <c r="A733" s="20"/>
      <c r="B733" s="20"/>
      <c r="C733" s="20"/>
    </row>
    <row r="734">
      <c r="A734" s="20"/>
      <c r="B734" s="20"/>
      <c r="C734" s="20"/>
    </row>
    <row r="735">
      <c r="A735" s="20"/>
      <c r="B735" s="20"/>
      <c r="C735" s="20"/>
    </row>
    <row r="736">
      <c r="A736" s="20"/>
      <c r="B736" s="20"/>
      <c r="C736" s="20"/>
    </row>
    <row r="737">
      <c r="A737" s="20"/>
      <c r="B737" s="20"/>
      <c r="C737" s="20"/>
    </row>
    <row r="738">
      <c r="A738" s="20"/>
      <c r="B738" s="20"/>
      <c r="C738" s="20"/>
    </row>
    <row r="739">
      <c r="A739" s="20"/>
      <c r="B739" s="20"/>
      <c r="C739" s="20"/>
    </row>
    <row r="740">
      <c r="A740" s="20"/>
      <c r="B740" s="20"/>
      <c r="C740" s="20"/>
    </row>
    <row r="741">
      <c r="A741" s="20"/>
      <c r="B741" s="20"/>
      <c r="C741" s="20"/>
    </row>
    <row r="742">
      <c r="A742" s="20"/>
      <c r="B742" s="20"/>
      <c r="C742" s="20"/>
    </row>
    <row r="743">
      <c r="A743" s="20"/>
      <c r="B743" s="20"/>
      <c r="C743" s="20"/>
    </row>
    <row r="744">
      <c r="A744" s="20"/>
      <c r="B744" s="20"/>
      <c r="C744" s="20"/>
    </row>
    <row r="745">
      <c r="A745" s="20"/>
      <c r="B745" s="20"/>
      <c r="C745" s="20"/>
    </row>
    <row r="746">
      <c r="A746" s="20"/>
      <c r="B746" s="20"/>
      <c r="C746" s="20"/>
    </row>
    <row r="747">
      <c r="A747" s="20"/>
      <c r="B747" s="20"/>
      <c r="C747" s="20"/>
    </row>
    <row r="748">
      <c r="A748" s="20"/>
      <c r="B748" s="20"/>
      <c r="C748" s="20"/>
    </row>
    <row r="749">
      <c r="A749" s="20"/>
      <c r="B749" s="20"/>
      <c r="C749" s="20"/>
    </row>
    <row r="750">
      <c r="A750" s="20"/>
      <c r="B750" s="20"/>
      <c r="C750" s="20"/>
    </row>
    <row r="751">
      <c r="A751" s="20"/>
      <c r="B751" s="20"/>
      <c r="C751" s="20"/>
    </row>
    <row r="752">
      <c r="A752" s="20"/>
      <c r="B752" s="20"/>
      <c r="C752" s="20"/>
    </row>
    <row r="753">
      <c r="A753" s="20"/>
      <c r="B753" s="20"/>
      <c r="C753" s="20"/>
    </row>
    <row r="754">
      <c r="A754" s="20"/>
      <c r="B754" s="20"/>
      <c r="C754" s="20"/>
    </row>
    <row r="755">
      <c r="A755" s="20"/>
      <c r="B755" s="20"/>
      <c r="C755" s="20"/>
    </row>
    <row r="756">
      <c r="A756" s="20"/>
      <c r="B756" s="20"/>
      <c r="C756" s="20"/>
    </row>
    <row r="757">
      <c r="A757" s="20"/>
      <c r="B757" s="20"/>
      <c r="C757" s="20"/>
    </row>
    <row r="758">
      <c r="A758" s="20"/>
      <c r="B758" s="20"/>
      <c r="C758" s="20"/>
    </row>
    <row r="759">
      <c r="A759" s="20"/>
      <c r="B759" s="20"/>
      <c r="C759" s="20"/>
    </row>
    <row r="760">
      <c r="A760" s="20"/>
      <c r="B760" s="20"/>
      <c r="C760" s="20"/>
    </row>
    <row r="761">
      <c r="A761" s="20"/>
      <c r="B761" s="20"/>
      <c r="C761" s="20"/>
    </row>
    <row r="762">
      <c r="A762" s="20"/>
      <c r="B762" s="20"/>
      <c r="C762" s="20"/>
    </row>
    <row r="763">
      <c r="A763" s="20"/>
      <c r="B763" s="20"/>
      <c r="C763" s="20"/>
    </row>
    <row r="764">
      <c r="A764" s="20"/>
      <c r="B764" s="20"/>
      <c r="C764" s="20"/>
    </row>
    <row r="765">
      <c r="A765" s="20"/>
      <c r="B765" s="20"/>
      <c r="C765" s="20"/>
    </row>
    <row r="766">
      <c r="A766" s="20"/>
      <c r="B766" s="20"/>
      <c r="C766" s="20"/>
    </row>
    <row r="767">
      <c r="A767" s="20"/>
      <c r="B767" s="20"/>
      <c r="C767" s="20"/>
    </row>
    <row r="768">
      <c r="A768" s="20"/>
      <c r="B768" s="20"/>
      <c r="C768" s="20"/>
    </row>
    <row r="769">
      <c r="A769" s="20"/>
      <c r="B769" s="20"/>
      <c r="C769" s="20"/>
    </row>
    <row r="770">
      <c r="A770" s="20"/>
      <c r="B770" s="20"/>
      <c r="C770" s="20"/>
    </row>
    <row r="771">
      <c r="A771" s="20"/>
      <c r="B771" s="20"/>
      <c r="C771" s="20"/>
    </row>
    <row r="772">
      <c r="A772" s="20"/>
      <c r="B772" s="20"/>
      <c r="C772" s="20"/>
    </row>
    <row r="773">
      <c r="A773" s="20"/>
      <c r="B773" s="20"/>
      <c r="C773" s="20"/>
    </row>
    <row r="774">
      <c r="A774" s="20"/>
      <c r="B774" s="20"/>
      <c r="C774" s="20"/>
    </row>
    <row r="775">
      <c r="A775" s="20"/>
      <c r="B775" s="20"/>
      <c r="C775" s="20"/>
    </row>
    <row r="776">
      <c r="A776" s="20"/>
      <c r="B776" s="20"/>
      <c r="C776" s="20"/>
    </row>
    <row r="777">
      <c r="A777" s="20"/>
      <c r="B777" s="20"/>
      <c r="C777" s="20"/>
    </row>
    <row r="778">
      <c r="A778" s="20"/>
      <c r="B778" s="20"/>
      <c r="C778" s="20"/>
    </row>
    <row r="779">
      <c r="A779" s="20"/>
      <c r="B779" s="20"/>
      <c r="C779" s="20"/>
    </row>
    <row r="780">
      <c r="A780" s="20"/>
      <c r="B780" s="20"/>
      <c r="C780" s="20"/>
    </row>
    <row r="781">
      <c r="A781" s="20"/>
      <c r="B781" s="20"/>
      <c r="C781" s="20"/>
    </row>
    <row r="782">
      <c r="A782" s="20"/>
      <c r="B782" s="20"/>
      <c r="C782" s="20"/>
    </row>
    <row r="783">
      <c r="A783" s="20"/>
      <c r="B783" s="20"/>
      <c r="C783" s="20"/>
    </row>
    <row r="784">
      <c r="A784" s="20"/>
      <c r="B784" s="20"/>
      <c r="C784" s="20"/>
    </row>
    <row r="785">
      <c r="A785" s="20"/>
      <c r="B785" s="20"/>
      <c r="C785" s="20"/>
    </row>
    <row r="786">
      <c r="A786" s="20"/>
      <c r="B786" s="20"/>
      <c r="C786" s="20"/>
    </row>
    <row r="787">
      <c r="A787" s="20"/>
      <c r="B787" s="20"/>
      <c r="C787" s="20"/>
    </row>
    <row r="788">
      <c r="A788" s="20"/>
      <c r="B788" s="20"/>
      <c r="C788" s="20"/>
    </row>
    <row r="789">
      <c r="A789" s="20"/>
      <c r="B789" s="20"/>
      <c r="C789" s="20"/>
    </row>
    <row r="790">
      <c r="A790" s="20"/>
      <c r="B790" s="20"/>
      <c r="C790" s="20"/>
    </row>
    <row r="791">
      <c r="A791" s="20"/>
      <c r="B791" s="20"/>
      <c r="C791" s="20"/>
    </row>
    <row r="792">
      <c r="A792" s="20"/>
      <c r="B792" s="20"/>
      <c r="C792" s="20"/>
    </row>
    <row r="793">
      <c r="A793" s="20"/>
      <c r="B793" s="20"/>
      <c r="C793" s="20"/>
    </row>
    <row r="794">
      <c r="A794" s="20"/>
      <c r="B794" s="20"/>
      <c r="C794" s="20"/>
    </row>
    <row r="795">
      <c r="A795" s="20"/>
      <c r="B795" s="20"/>
      <c r="C795" s="20"/>
    </row>
    <row r="796">
      <c r="A796" s="20"/>
      <c r="B796" s="20"/>
      <c r="C796" s="20"/>
    </row>
    <row r="797">
      <c r="A797" s="20"/>
      <c r="B797" s="20"/>
      <c r="C797" s="20"/>
    </row>
    <row r="798">
      <c r="A798" s="20"/>
      <c r="B798" s="20"/>
      <c r="C798" s="20"/>
    </row>
    <row r="799">
      <c r="A799" s="20"/>
      <c r="B799" s="20"/>
      <c r="C799" s="20"/>
    </row>
    <row r="800">
      <c r="A800" s="20"/>
      <c r="B800" s="20"/>
      <c r="C800" s="20"/>
    </row>
    <row r="801">
      <c r="A801" s="20"/>
      <c r="B801" s="20"/>
      <c r="C801" s="20"/>
    </row>
    <row r="802">
      <c r="A802" s="20"/>
      <c r="B802" s="20"/>
      <c r="C802" s="20"/>
    </row>
    <row r="803">
      <c r="A803" s="20"/>
      <c r="B803" s="20"/>
      <c r="C803" s="20"/>
    </row>
    <row r="804">
      <c r="A804" s="20"/>
      <c r="B804" s="20"/>
      <c r="C804" s="20"/>
    </row>
    <row r="805">
      <c r="A805" s="20"/>
      <c r="B805" s="20"/>
      <c r="C805" s="20"/>
    </row>
    <row r="806">
      <c r="A806" s="20"/>
      <c r="B806" s="20"/>
      <c r="C806" s="20"/>
    </row>
    <row r="807">
      <c r="A807" s="20"/>
      <c r="B807" s="20"/>
      <c r="C807" s="20"/>
    </row>
    <row r="808">
      <c r="A808" s="20"/>
      <c r="B808" s="20"/>
      <c r="C808" s="20"/>
    </row>
    <row r="809">
      <c r="A809" s="20"/>
      <c r="B809" s="20"/>
      <c r="C809" s="20"/>
    </row>
    <row r="810">
      <c r="A810" s="20"/>
      <c r="B810" s="20"/>
      <c r="C810" s="20"/>
    </row>
    <row r="811">
      <c r="A811" s="20"/>
      <c r="B811" s="20"/>
      <c r="C811" s="20"/>
    </row>
    <row r="812">
      <c r="A812" s="20"/>
      <c r="B812" s="20"/>
      <c r="C812" s="20"/>
    </row>
    <row r="813">
      <c r="A813" s="20"/>
      <c r="B813" s="20"/>
      <c r="C813" s="20"/>
    </row>
    <row r="814">
      <c r="A814" s="20"/>
      <c r="B814" s="20"/>
      <c r="C814" s="20"/>
    </row>
    <row r="815">
      <c r="A815" s="20"/>
      <c r="B815" s="20"/>
      <c r="C815" s="20"/>
    </row>
    <row r="816">
      <c r="A816" s="20"/>
      <c r="B816" s="20"/>
      <c r="C816" s="20"/>
    </row>
    <row r="817">
      <c r="A817" s="20"/>
      <c r="B817" s="20"/>
      <c r="C817" s="20"/>
    </row>
    <row r="818">
      <c r="A818" s="20"/>
      <c r="B818" s="20"/>
      <c r="C818" s="20"/>
    </row>
    <row r="819">
      <c r="A819" s="20"/>
      <c r="B819" s="20"/>
      <c r="C819" s="20"/>
    </row>
    <row r="820">
      <c r="A820" s="20"/>
      <c r="B820" s="20"/>
      <c r="C820" s="20"/>
    </row>
    <row r="821">
      <c r="A821" s="20"/>
      <c r="B821" s="20"/>
      <c r="C821" s="20"/>
    </row>
    <row r="822">
      <c r="A822" s="20"/>
      <c r="B822" s="20"/>
      <c r="C822" s="20"/>
    </row>
    <row r="823">
      <c r="A823" s="20"/>
      <c r="B823" s="20"/>
      <c r="C823" s="20"/>
    </row>
    <row r="824">
      <c r="A824" s="20"/>
      <c r="B824" s="20"/>
      <c r="C824" s="20"/>
    </row>
    <row r="825">
      <c r="A825" s="20"/>
      <c r="B825" s="20"/>
      <c r="C825" s="20"/>
    </row>
    <row r="826">
      <c r="A826" s="20"/>
      <c r="B826" s="20"/>
      <c r="C826" s="20"/>
    </row>
    <row r="827">
      <c r="A827" s="20"/>
      <c r="B827" s="20"/>
      <c r="C827" s="20"/>
    </row>
    <row r="828">
      <c r="A828" s="20"/>
      <c r="B828" s="20"/>
      <c r="C828" s="20"/>
    </row>
    <row r="829">
      <c r="A829" s="20"/>
      <c r="B829" s="20"/>
      <c r="C829" s="20"/>
    </row>
    <row r="830">
      <c r="A830" s="20"/>
      <c r="B830" s="20"/>
      <c r="C830" s="20"/>
    </row>
    <row r="831">
      <c r="A831" s="20"/>
      <c r="B831" s="20"/>
      <c r="C831" s="20"/>
    </row>
    <row r="832">
      <c r="A832" s="20"/>
      <c r="B832" s="20"/>
      <c r="C832" s="20"/>
    </row>
    <row r="833">
      <c r="A833" s="20"/>
      <c r="B833" s="20"/>
      <c r="C833" s="20"/>
    </row>
    <row r="834">
      <c r="A834" s="20"/>
      <c r="B834" s="20"/>
      <c r="C834" s="20"/>
    </row>
    <row r="835">
      <c r="A835" s="20"/>
      <c r="B835" s="20"/>
      <c r="C835" s="20"/>
    </row>
    <row r="836">
      <c r="A836" s="20"/>
      <c r="B836" s="20"/>
      <c r="C836" s="20"/>
    </row>
    <row r="837">
      <c r="A837" s="20"/>
      <c r="B837" s="20"/>
      <c r="C837" s="20"/>
    </row>
    <row r="838">
      <c r="A838" s="20"/>
      <c r="B838" s="20"/>
      <c r="C838" s="20"/>
    </row>
    <row r="839">
      <c r="A839" s="20"/>
      <c r="B839" s="20"/>
      <c r="C839" s="20"/>
    </row>
    <row r="840">
      <c r="A840" s="20"/>
      <c r="B840" s="20"/>
      <c r="C840" s="20"/>
    </row>
    <row r="841">
      <c r="A841" s="20"/>
      <c r="B841" s="20"/>
      <c r="C841" s="20"/>
    </row>
    <row r="842">
      <c r="A842" s="20"/>
      <c r="B842" s="20"/>
      <c r="C842" s="20"/>
    </row>
    <row r="843">
      <c r="A843" s="20"/>
      <c r="B843" s="20"/>
      <c r="C843" s="20"/>
    </row>
    <row r="844">
      <c r="A844" s="20"/>
      <c r="B844" s="20"/>
      <c r="C844" s="20"/>
    </row>
    <row r="845">
      <c r="A845" s="20"/>
      <c r="B845" s="20"/>
      <c r="C845" s="20"/>
    </row>
    <row r="846">
      <c r="A846" s="20"/>
      <c r="B846" s="20"/>
      <c r="C846" s="20"/>
    </row>
    <row r="847">
      <c r="A847" s="20"/>
      <c r="B847" s="20"/>
      <c r="C847" s="20"/>
    </row>
    <row r="848">
      <c r="A848" s="20"/>
      <c r="B848" s="20"/>
      <c r="C848" s="20"/>
    </row>
    <row r="849">
      <c r="A849" s="20"/>
      <c r="B849" s="20"/>
      <c r="C849" s="20"/>
    </row>
    <row r="850">
      <c r="A850" s="20"/>
      <c r="B850" s="20"/>
      <c r="C850" s="20"/>
    </row>
    <row r="851">
      <c r="A851" s="20"/>
      <c r="B851" s="20"/>
      <c r="C851" s="20"/>
    </row>
    <row r="852">
      <c r="A852" s="20"/>
      <c r="B852" s="20"/>
      <c r="C852" s="20"/>
    </row>
    <row r="853">
      <c r="A853" s="20"/>
      <c r="B853" s="20"/>
      <c r="C853" s="20"/>
    </row>
    <row r="854">
      <c r="A854" s="20"/>
      <c r="B854" s="20"/>
      <c r="C854" s="20"/>
    </row>
    <row r="855">
      <c r="A855" s="20"/>
      <c r="B855" s="20"/>
      <c r="C855" s="20"/>
    </row>
    <row r="856">
      <c r="A856" s="20"/>
      <c r="B856" s="20"/>
      <c r="C856" s="20"/>
    </row>
    <row r="857">
      <c r="A857" s="20"/>
      <c r="B857" s="20"/>
      <c r="C857" s="20"/>
    </row>
    <row r="858">
      <c r="A858" s="20"/>
      <c r="B858" s="20"/>
      <c r="C858" s="20"/>
    </row>
    <row r="859">
      <c r="A859" s="20"/>
      <c r="B859" s="20"/>
      <c r="C859" s="20"/>
    </row>
    <row r="860">
      <c r="A860" s="20"/>
      <c r="B860" s="20"/>
      <c r="C860" s="20"/>
    </row>
    <row r="861">
      <c r="A861" s="20"/>
      <c r="B861" s="20"/>
      <c r="C861" s="20"/>
    </row>
    <row r="862">
      <c r="A862" s="20"/>
      <c r="B862" s="20"/>
      <c r="C862" s="20"/>
    </row>
    <row r="863">
      <c r="A863" s="20"/>
      <c r="B863" s="20"/>
      <c r="C863" s="20"/>
    </row>
    <row r="864">
      <c r="A864" s="20"/>
      <c r="B864" s="20"/>
      <c r="C864" s="20"/>
    </row>
    <row r="865">
      <c r="A865" s="20"/>
      <c r="B865" s="20"/>
      <c r="C865" s="20"/>
    </row>
    <row r="866">
      <c r="A866" s="20"/>
      <c r="B866" s="20"/>
      <c r="C866" s="20"/>
    </row>
    <row r="867">
      <c r="A867" s="20"/>
      <c r="B867" s="20"/>
      <c r="C867" s="20"/>
    </row>
    <row r="868">
      <c r="A868" s="20"/>
      <c r="B868" s="20"/>
      <c r="C868" s="20"/>
    </row>
    <row r="869">
      <c r="A869" s="20"/>
      <c r="B869" s="20"/>
      <c r="C869" s="20"/>
    </row>
    <row r="870">
      <c r="A870" s="20"/>
      <c r="B870" s="20"/>
      <c r="C870" s="20"/>
    </row>
    <row r="871">
      <c r="A871" s="20"/>
      <c r="B871" s="20"/>
      <c r="C871" s="20"/>
    </row>
    <row r="872">
      <c r="A872" s="20"/>
      <c r="B872" s="20"/>
      <c r="C872" s="20"/>
    </row>
    <row r="873">
      <c r="A873" s="20"/>
      <c r="B873" s="20"/>
      <c r="C873" s="20"/>
    </row>
    <row r="874">
      <c r="A874" s="20"/>
      <c r="B874" s="20"/>
      <c r="C874" s="20"/>
    </row>
    <row r="875">
      <c r="A875" s="20"/>
      <c r="B875" s="20"/>
      <c r="C875" s="20"/>
    </row>
    <row r="876">
      <c r="A876" s="20"/>
      <c r="B876" s="20"/>
      <c r="C876" s="20"/>
    </row>
    <row r="877">
      <c r="A877" s="20"/>
      <c r="B877" s="20"/>
      <c r="C877" s="20"/>
    </row>
    <row r="878">
      <c r="A878" s="20"/>
      <c r="B878" s="20"/>
      <c r="C878" s="20"/>
    </row>
    <row r="879">
      <c r="A879" s="20"/>
      <c r="B879" s="20"/>
      <c r="C879" s="20"/>
    </row>
    <row r="880">
      <c r="A880" s="20"/>
      <c r="B880" s="20"/>
      <c r="C880" s="20"/>
    </row>
    <row r="881">
      <c r="A881" s="20"/>
      <c r="B881" s="20"/>
      <c r="C881" s="20"/>
    </row>
    <row r="882">
      <c r="A882" s="20"/>
      <c r="B882" s="20"/>
      <c r="C882" s="20"/>
    </row>
    <row r="883">
      <c r="A883" s="20"/>
      <c r="B883" s="20"/>
      <c r="C883" s="20"/>
    </row>
    <row r="884">
      <c r="A884" s="20"/>
      <c r="B884" s="20"/>
      <c r="C884" s="20"/>
    </row>
    <row r="885">
      <c r="A885" s="20"/>
      <c r="B885" s="20"/>
      <c r="C885" s="20"/>
    </row>
    <row r="886">
      <c r="A886" s="20"/>
      <c r="B886" s="20"/>
      <c r="C886" s="20"/>
    </row>
    <row r="887">
      <c r="A887" s="20"/>
      <c r="B887" s="20"/>
      <c r="C887" s="20"/>
    </row>
    <row r="888">
      <c r="A888" s="20"/>
      <c r="B888" s="20"/>
      <c r="C888" s="20"/>
    </row>
    <row r="889">
      <c r="A889" s="20"/>
      <c r="B889" s="20"/>
      <c r="C889" s="20"/>
    </row>
    <row r="890">
      <c r="A890" s="20"/>
      <c r="B890" s="20"/>
      <c r="C890" s="20"/>
    </row>
    <row r="891">
      <c r="A891" s="20"/>
      <c r="B891" s="20"/>
      <c r="C891" s="20"/>
    </row>
    <row r="892">
      <c r="A892" s="20"/>
      <c r="B892" s="20"/>
      <c r="C892" s="20"/>
    </row>
    <row r="893">
      <c r="A893" s="20"/>
      <c r="B893" s="20"/>
      <c r="C893" s="20"/>
    </row>
    <row r="894">
      <c r="A894" s="20"/>
      <c r="B894" s="20"/>
      <c r="C894" s="20"/>
    </row>
    <row r="895">
      <c r="A895" s="20"/>
      <c r="B895" s="20"/>
      <c r="C895" s="20"/>
    </row>
    <row r="896">
      <c r="A896" s="20"/>
      <c r="B896" s="20"/>
      <c r="C896" s="20"/>
    </row>
    <row r="897">
      <c r="A897" s="20"/>
      <c r="B897" s="20"/>
      <c r="C897" s="20"/>
    </row>
    <row r="898">
      <c r="A898" s="20"/>
      <c r="B898" s="20"/>
      <c r="C898" s="20"/>
    </row>
    <row r="899">
      <c r="A899" s="20"/>
      <c r="B899" s="20"/>
      <c r="C899" s="20"/>
    </row>
    <row r="900">
      <c r="A900" s="20"/>
      <c r="B900" s="20"/>
      <c r="C900" s="20"/>
    </row>
    <row r="901">
      <c r="A901" s="20"/>
      <c r="B901" s="20"/>
      <c r="C901" s="20"/>
    </row>
    <row r="902">
      <c r="A902" s="20"/>
      <c r="B902" s="20"/>
      <c r="C902" s="20"/>
    </row>
    <row r="903">
      <c r="A903" s="20"/>
      <c r="B903" s="20"/>
      <c r="C903" s="20"/>
    </row>
    <row r="904">
      <c r="A904" s="20"/>
      <c r="B904" s="20"/>
      <c r="C904" s="20"/>
    </row>
    <row r="905">
      <c r="A905" s="20"/>
      <c r="B905" s="20"/>
      <c r="C905" s="20"/>
    </row>
    <row r="906">
      <c r="A906" s="20"/>
      <c r="B906" s="20"/>
      <c r="C906" s="20"/>
    </row>
    <row r="907">
      <c r="A907" s="20"/>
      <c r="B907" s="20"/>
      <c r="C907" s="20"/>
    </row>
    <row r="908">
      <c r="A908" s="20"/>
      <c r="B908" s="20"/>
      <c r="C908" s="20"/>
    </row>
    <row r="909">
      <c r="A909" s="20"/>
      <c r="B909" s="20"/>
      <c r="C909" s="20"/>
    </row>
    <row r="910">
      <c r="A910" s="20"/>
      <c r="B910" s="20"/>
      <c r="C910" s="20"/>
    </row>
    <row r="911">
      <c r="A911" s="20"/>
      <c r="B911" s="20"/>
      <c r="C911" s="20"/>
    </row>
    <row r="912">
      <c r="A912" s="20"/>
      <c r="B912" s="20"/>
      <c r="C912" s="20"/>
    </row>
    <row r="913">
      <c r="A913" s="20"/>
      <c r="B913" s="20"/>
      <c r="C913" s="20"/>
    </row>
    <row r="914">
      <c r="A914" s="20"/>
      <c r="B914" s="20"/>
      <c r="C914" s="20"/>
    </row>
    <row r="915">
      <c r="A915" s="20"/>
      <c r="B915" s="20"/>
      <c r="C915" s="20"/>
    </row>
    <row r="916">
      <c r="A916" s="20"/>
      <c r="B916" s="20"/>
      <c r="C916" s="20"/>
    </row>
    <row r="917">
      <c r="A917" s="20"/>
      <c r="B917" s="20"/>
      <c r="C917" s="20"/>
    </row>
    <row r="918">
      <c r="A918" s="20"/>
      <c r="B918" s="20"/>
      <c r="C918" s="20"/>
    </row>
    <row r="919">
      <c r="A919" s="20"/>
      <c r="B919" s="20"/>
      <c r="C919" s="20"/>
    </row>
    <row r="920">
      <c r="A920" s="20"/>
      <c r="B920" s="20"/>
      <c r="C920" s="20"/>
    </row>
    <row r="921">
      <c r="A921" s="20"/>
      <c r="B921" s="20"/>
      <c r="C921" s="20"/>
    </row>
    <row r="922">
      <c r="A922" s="20"/>
      <c r="B922" s="20"/>
      <c r="C922" s="20"/>
    </row>
    <row r="923">
      <c r="A923" s="20"/>
      <c r="B923" s="20"/>
      <c r="C923" s="20"/>
    </row>
    <row r="924">
      <c r="A924" s="20"/>
      <c r="B924" s="20"/>
      <c r="C924" s="20"/>
    </row>
    <row r="925">
      <c r="A925" s="20"/>
      <c r="B925" s="20"/>
      <c r="C925" s="20"/>
    </row>
    <row r="926">
      <c r="A926" s="20"/>
      <c r="B926" s="20"/>
      <c r="C926" s="20"/>
    </row>
    <row r="927">
      <c r="A927" s="20"/>
      <c r="B927" s="20"/>
      <c r="C927" s="20"/>
    </row>
    <row r="928">
      <c r="A928" s="20"/>
      <c r="B928" s="20"/>
      <c r="C928" s="20"/>
    </row>
    <row r="929">
      <c r="A929" s="20"/>
      <c r="B929" s="20"/>
      <c r="C929" s="20"/>
    </row>
    <row r="930">
      <c r="A930" s="20"/>
      <c r="B930" s="20"/>
      <c r="C930" s="20"/>
    </row>
    <row r="931">
      <c r="A931" s="20"/>
      <c r="B931" s="20"/>
      <c r="C931" s="20"/>
    </row>
    <row r="932">
      <c r="A932" s="20"/>
      <c r="B932" s="20"/>
      <c r="C932" s="20"/>
    </row>
    <row r="933">
      <c r="A933" s="20"/>
      <c r="B933" s="20"/>
      <c r="C933" s="20"/>
    </row>
    <row r="934">
      <c r="A934" s="20"/>
      <c r="B934" s="20"/>
      <c r="C934" s="20"/>
    </row>
    <row r="935">
      <c r="A935" s="20"/>
      <c r="B935" s="20"/>
      <c r="C935" s="20"/>
    </row>
    <row r="936">
      <c r="A936" s="20"/>
      <c r="B936" s="20"/>
      <c r="C936" s="20"/>
    </row>
    <row r="937">
      <c r="A937" s="20"/>
      <c r="B937" s="20"/>
      <c r="C937" s="20"/>
    </row>
    <row r="938">
      <c r="A938" s="20"/>
      <c r="B938" s="20"/>
      <c r="C938" s="20"/>
    </row>
    <row r="939">
      <c r="A939" s="20"/>
      <c r="B939" s="20"/>
      <c r="C939" s="20"/>
    </row>
    <row r="940">
      <c r="A940" s="20"/>
      <c r="B940" s="20"/>
      <c r="C940" s="20"/>
    </row>
    <row r="941">
      <c r="A941" s="20"/>
      <c r="B941" s="20"/>
      <c r="C941" s="20"/>
    </row>
    <row r="942">
      <c r="A942" s="20"/>
      <c r="B942" s="20"/>
      <c r="C942" s="20"/>
    </row>
    <row r="943">
      <c r="A943" s="20"/>
      <c r="B943" s="20"/>
      <c r="C943" s="20"/>
    </row>
    <row r="944">
      <c r="A944" s="20"/>
      <c r="B944" s="20"/>
      <c r="C944" s="20"/>
    </row>
    <row r="945">
      <c r="A945" s="20"/>
      <c r="B945" s="20"/>
      <c r="C945" s="20"/>
    </row>
    <row r="946">
      <c r="A946" s="20"/>
      <c r="B946" s="20"/>
      <c r="C946" s="20"/>
    </row>
    <row r="947">
      <c r="A947" s="20"/>
      <c r="B947" s="20"/>
      <c r="C947" s="20"/>
    </row>
    <row r="948">
      <c r="A948" s="20"/>
      <c r="B948" s="20"/>
      <c r="C948" s="20"/>
    </row>
    <row r="949">
      <c r="A949" s="20"/>
      <c r="B949" s="20"/>
      <c r="C949" s="20"/>
    </row>
    <row r="950">
      <c r="A950" s="20"/>
      <c r="B950" s="20"/>
      <c r="C950" s="20"/>
    </row>
    <row r="951">
      <c r="A951" s="20"/>
      <c r="B951" s="20"/>
      <c r="C951" s="20"/>
    </row>
    <row r="952">
      <c r="A952" s="20"/>
      <c r="B952" s="20"/>
      <c r="C952" s="20"/>
    </row>
    <row r="953">
      <c r="A953" s="20"/>
      <c r="B953" s="20"/>
      <c r="C953" s="20"/>
    </row>
    <row r="954">
      <c r="A954" s="20"/>
      <c r="B954" s="20"/>
      <c r="C954" s="20"/>
    </row>
    <row r="955">
      <c r="A955" s="20"/>
      <c r="B955" s="20"/>
      <c r="C955" s="20"/>
    </row>
    <row r="956">
      <c r="A956" s="20"/>
      <c r="B956" s="20"/>
      <c r="C956" s="20"/>
    </row>
    <row r="957">
      <c r="A957" s="20"/>
      <c r="B957" s="20"/>
      <c r="C957" s="20"/>
    </row>
    <row r="958">
      <c r="A958" s="20"/>
      <c r="B958" s="20"/>
      <c r="C958" s="20"/>
    </row>
    <row r="959">
      <c r="A959" s="20"/>
      <c r="B959" s="20"/>
      <c r="C959" s="20"/>
    </row>
    <row r="960">
      <c r="A960" s="20"/>
      <c r="B960" s="20"/>
      <c r="C960" s="20"/>
    </row>
    <row r="961">
      <c r="A961" s="20"/>
      <c r="B961" s="20"/>
      <c r="C961" s="20"/>
    </row>
    <row r="962">
      <c r="A962" s="20"/>
      <c r="B962" s="20"/>
      <c r="C962" s="20"/>
    </row>
    <row r="963">
      <c r="A963" s="20"/>
      <c r="B963" s="20"/>
      <c r="C963" s="20"/>
    </row>
    <row r="964">
      <c r="A964" s="20"/>
      <c r="B964" s="20"/>
      <c r="C964" s="20"/>
    </row>
    <row r="965">
      <c r="A965" s="20"/>
      <c r="B965" s="20"/>
      <c r="C965" s="20"/>
    </row>
    <row r="966">
      <c r="A966" s="20"/>
      <c r="B966" s="20"/>
      <c r="C966" s="20"/>
    </row>
    <row r="967">
      <c r="A967" s="20"/>
      <c r="B967" s="20"/>
      <c r="C967" s="20"/>
    </row>
    <row r="968">
      <c r="A968" s="20"/>
      <c r="B968" s="20"/>
      <c r="C968" s="20"/>
    </row>
    <row r="969">
      <c r="A969" s="20"/>
      <c r="B969" s="20"/>
      <c r="C969" s="20"/>
    </row>
    <row r="970">
      <c r="A970" s="20"/>
      <c r="B970" s="20"/>
      <c r="C970" s="20"/>
    </row>
    <row r="971">
      <c r="A971" s="20"/>
      <c r="B971" s="20"/>
      <c r="C971" s="20"/>
    </row>
    <row r="972">
      <c r="A972" s="20"/>
      <c r="B972" s="20"/>
      <c r="C972" s="20"/>
    </row>
    <row r="973">
      <c r="A973" s="20"/>
      <c r="B973" s="20"/>
      <c r="C973" s="20"/>
    </row>
    <row r="974">
      <c r="A974" s="20"/>
      <c r="B974" s="20"/>
      <c r="C974" s="20"/>
    </row>
    <row r="975">
      <c r="A975" s="20"/>
      <c r="B975" s="20"/>
      <c r="C975" s="20"/>
    </row>
    <row r="976">
      <c r="A976" s="20"/>
      <c r="B976" s="20"/>
      <c r="C976" s="20"/>
    </row>
    <row r="977">
      <c r="A977" s="20"/>
      <c r="B977" s="20"/>
      <c r="C977" s="20"/>
    </row>
    <row r="978">
      <c r="A978" s="20"/>
      <c r="B978" s="20"/>
      <c r="C978" s="20"/>
    </row>
    <row r="979">
      <c r="A979" s="20"/>
      <c r="B979" s="20"/>
      <c r="C979" s="20"/>
    </row>
    <row r="980">
      <c r="A980" s="20"/>
      <c r="B980" s="20"/>
      <c r="C980" s="20"/>
    </row>
    <row r="981">
      <c r="A981" s="20"/>
      <c r="B981" s="20"/>
      <c r="C981" s="20"/>
    </row>
    <row r="982">
      <c r="A982" s="20"/>
      <c r="B982" s="20"/>
      <c r="C982" s="20"/>
    </row>
    <row r="983">
      <c r="A983" s="20"/>
      <c r="B983" s="20"/>
      <c r="C983" s="20"/>
    </row>
    <row r="984">
      <c r="A984" s="20"/>
      <c r="B984" s="20"/>
      <c r="C984" s="20"/>
    </row>
    <row r="985">
      <c r="A985" s="20"/>
      <c r="B985" s="20"/>
      <c r="C985" s="20"/>
    </row>
    <row r="986">
      <c r="A986" s="20"/>
      <c r="B986" s="20"/>
      <c r="C986" s="20"/>
    </row>
    <row r="987">
      <c r="A987" s="20"/>
      <c r="B987" s="20"/>
      <c r="C987" s="20"/>
    </row>
    <row r="988">
      <c r="A988" s="20"/>
      <c r="B988" s="20"/>
      <c r="C988" s="20"/>
    </row>
    <row r="989">
      <c r="A989" s="20"/>
      <c r="B989" s="20"/>
      <c r="C989" s="20"/>
    </row>
    <row r="990">
      <c r="A990" s="20"/>
      <c r="B990" s="20"/>
      <c r="C990" s="20"/>
    </row>
    <row r="991">
      <c r="A991" s="20"/>
      <c r="B991" s="20"/>
      <c r="C991" s="20"/>
    </row>
    <row r="992">
      <c r="A992" s="20"/>
      <c r="B992" s="20"/>
      <c r="C992" s="20"/>
    </row>
    <row r="993">
      <c r="A993" s="20"/>
      <c r="B993" s="20"/>
      <c r="C993" s="20"/>
    </row>
    <row r="994">
      <c r="A994" s="20"/>
      <c r="B994" s="20"/>
      <c r="C994" s="20"/>
    </row>
    <row r="995">
      <c r="A995" s="20"/>
      <c r="B995" s="20"/>
      <c r="C995" s="20"/>
    </row>
    <row r="996">
      <c r="A996" s="20"/>
      <c r="B996" s="20"/>
      <c r="C996" s="20"/>
    </row>
    <row r="997">
      <c r="A997" s="20"/>
      <c r="B997" s="20"/>
      <c r="C997" s="20"/>
    </row>
    <row r="998">
      <c r="A998" s="20"/>
      <c r="B998" s="20"/>
      <c r="C998" s="20"/>
    </row>
    <row r="999">
      <c r="A999" s="20"/>
      <c r="B999" s="20"/>
      <c r="C999" s="20"/>
    </row>
    <row r="1000">
      <c r="A1000" s="20"/>
      <c r="B1000" s="20"/>
      <c r="C1000" s="2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13"/>
  </cols>
  <sheetData>
    <row r="1">
      <c r="A1" s="9" t="s">
        <v>574</v>
      </c>
      <c r="B1" s="32" t="s">
        <v>575</v>
      </c>
      <c r="C1" s="9" t="s">
        <v>576</v>
      </c>
      <c r="D1" s="9" t="s">
        <v>18</v>
      </c>
      <c r="E1" s="9" t="s">
        <v>577</v>
      </c>
    </row>
    <row r="2">
      <c r="A2" s="61">
        <v>46230.0</v>
      </c>
      <c r="B2" s="32" t="s">
        <v>578</v>
      </c>
      <c r="C2" s="9" t="s">
        <v>34</v>
      </c>
      <c r="E2" s="9" t="s">
        <v>36</v>
      </c>
    </row>
    <row r="3">
      <c r="A3" s="61">
        <v>46231.0</v>
      </c>
      <c r="B3" s="32" t="s">
        <v>579</v>
      </c>
      <c r="C3" s="9" t="s">
        <v>57</v>
      </c>
    </row>
    <row r="4">
      <c r="A4" s="61">
        <v>46232.0</v>
      </c>
      <c r="B4" s="32" t="s">
        <v>580</v>
      </c>
      <c r="C4" s="9" t="s">
        <v>581</v>
      </c>
      <c r="E4" s="9" t="s">
        <v>36</v>
      </c>
    </row>
    <row r="5">
      <c r="A5" s="61">
        <v>46233.0</v>
      </c>
      <c r="B5" s="32" t="s">
        <v>582</v>
      </c>
      <c r="C5" s="9" t="s">
        <v>583</v>
      </c>
    </row>
    <row r="6">
      <c r="B6" s="62"/>
    </row>
    <row r="7">
      <c r="B7" s="62"/>
    </row>
    <row r="8">
      <c r="B8" s="62"/>
    </row>
    <row r="9">
      <c r="B9" s="62"/>
    </row>
    <row r="10">
      <c r="B10" s="62"/>
    </row>
    <row r="11">
      <c r="B11" s="62"/>
    </row>
    <row r="12">
      <c r="B12" s="62"/>
    </row>
    <row r="13">
      <c r="B13" s="62"/>
    </row>
    <row r="14">
      <c r="B14" s="62"/>
    </row>
    <row r="15">
      <c r="B15" s="62"/>
    </row>
    <row r="16">
      <c r="B16" s="62"/>
    </row>
    <row r="17">
      <c r="B17" s="62"/>
    </row>
    <row r="18">
      <c r="B18" s="62"/>
    </row>
    <row r="19">
      <c r="B19" s="62"/>
    </row>
    <row r="20">
      <c r="B20" s="62"/>
    </row>
    <row r="21">
      <c r="B21" s="62"/>
    </row>
    <row r="22">
      <c r="B22" s="62"/>
    </row>
    <row r="23">
      <c r="B23" s="62"/>
    </row>
    <row r="24">
      <c r="B24" s="62"/>
    </row>
    <row r="25">
      <c r="B25" s="62"/>
    </row>
    <row r="26">
      <c r="B26" s="62"/>
    </row>
    <row r="27">
      <c r="B27" s="62"/>
    </row>
    <row r="28">
      <c r="B28" s="62"/>
    </row>
    <row r="29">
      <c r="B29" s="62"/>
    </row>
    <row r="30">
      <c r="B30" s="62"/>
    </row>
    <row r="31">
      <c r="B31" s="62"/>
    </row>
    <row r="32">
      <c r="B32" s="62"/>
    </row>
    <row r="33">
      <c r="B33" s="62"/>
    </row>
    <row r="34">
      <c r="B34" s="62"/>
    </row>
    <row r="35">
      <c r="B35" s="62"/>
    </row>
    <row r="36">
      <c r="B36" s="62"/>
    </row>
    <row r="37">
      <c r="B37" s="62"/>
    </row>
    <row r="38">
      <c r="B38" s="62"/>
    </row>
    <row r="39">
      <c r="B39" s="62"/>
    </row>
    <row r="40">
      <c r="B40" s="62"/>
    </row>
    <row r="41">
      <c r="B41" s="62"/>
    </row>
    <row r="42">
      <c r="B42" s="62"/>
    </row>
    <row r="43">
      <c r="B43" s="62"/>
    </row>
    <row r="44">
      <c r="B44" s="62"/>
    </row>
    <row r="45">
      <c r="B45" s="62"/>
    </row>
    <row r="46">
      <c r="B46" s="62"/>
    </row>
    <row r="47">
      <c r="B47" s="62"/>
    </row>
    <row r="48">
      <c r="B48" s="62"/>
    </row>
    <row r="49">
      <c r="B49" s="62"/>
    </row>
    <row r="50">
      <c r="B50" s="62"/>
    </row>
    <row r="51">
      <c r="B51" s="62"/>
    </row>
    <row r="52">
      <c r="B52" s="62"/>
    </row>
    <row r="53">
      <c r="B53" s="62"/>
    </row>
    <row r="54">
      <c r="B54" s="62"/>
    </row>
    <row r="55">
      <c r="B55" s="62"/>
    </row>
    <row r="56">
      <c r="B56" s="62"/>
    </row>
    <row r="57">
      <c r="B57" s="62"/>
    </row>
    <row r="58">
      <c r="B58" s="62"/>
    </row>
    <row r="59">
      <c r="B59" s="62"/>
    </row>
    <row r="60">
      <c r="B60" s="62"/>
    </row>
    <row r="61">
      <c r="B61" s="62"/>
    </row>
    <row r="62">
      <c r="B62" s="62"/>
    </row>
    <row r="63">
      <c r="B63" s="62"/>
    </row>
    <row r="64">
      <c r="B64" s="62"/>
    </row>
    <row r="65">
      <c r="B65" s="62"/>
    </row>
    <row r="66">
      <c r="B66" s="62"/>
    </row>
    <row r="67">
      <c r="B67" s="62"/>
    </row>
    <row r="68">
      <c r="B68" s="62"/>
    </row>
    <row r="69">
      <c r="B69" s="62"/>
    </row>
    <row r="70">
      <c r="B70" s="62"/>
    </row>
    <row r="71">
      <c r="B71" s="62"/>
    </row>
    <row r="72">
      <c r="B72" s="62"/>
    </row>
    <row r="73">
      <c r="B73" s="62"/>
    </row>
    <row r="74">
      <c r="B74" s="62"/>
    </row>
    <row r="75">
      <c r="B75" s="62"/>
    </row>
    <row r="76">
      <c r="B76" s="62"/>
    </row>
    <row r="77">
      <c r="B77" s="62"/>
    </row>
    <row r="78">
      <c r="B78" s="62"/>
    </row>
    <row r="79">
      <c r="B79" s="62"/>
    </row>
    <row r="80">
      <c r="B80" s="62"/>
    </row>
    <row r="81">
      <c r="B81" s="62"/>
    </row>
    <row r="82">
      <c r="B82" s="62"/>
    </row>
    <row r="83">
      <c r="B83" s="62"/>
    </row>
    <row r="84">
      <c r="B84" s="62"/>
    </row>
    <row r="85">
      <c r="B85" s="62"/>
    </row>
    <row r="86">
      <c r="B86" s="62"/>
    </row>
    <row r="87">
      <c r="B87" s="62"/>
    </row>
    <row r="88">
      <c r="B88" s="62"/>
    </row>
    <row r="89">
      <c r="B89" s="62"/>
    </row>
    <row r="90">
      <c r="B90" s="62"/>
    </row>
    <row r="91">
      <c r="B91" s="62"/>
    </row>
    <row r="92">
      <c r="B92" s="62"/>
    </row>
    <row r="93">
      <c r="B93" s="62"/>
    </row>
    <row r="94">
      <c r="B94" s="62"/>
    </row>
    <row r="95">
      <c r="B95" s="62"/>
    </row>
    <row r="96">
      <c r="B96" s="62"/>
    </row>
    <row r="97">
      <c r="B97" s="62"/>
    </row>
    <row r="98">
      <c r="B98" s="62"/>
    </row>
    <row r="99">
      <c r="B99" s="62"/>
    </row>
    <row r="100">
      <c r="B100" s="62"/>
    </row>
    <row r="101">
      <c r="B101" s="62"/>
    </row>
    <row r="102">
      <c r="B102" s="62"/>
    </row>
    <row r="103">
      <c r="B103" s="62"/>
    </row>
    <row r="104">
      <c r="B104" s="62"/>
    </row>
    <row r="105">
      <c r="B105" s="62"/>
    </row>
    <row r="106">
      <c r="B106" s="62"/>
    </row>
    <row r="107">
      <c r="B107" s="62"/>
    </row>
    <row r="108">
      <c r="B108" s="62"/>
    </row>
    <row r="109">
      <c r="B109" s="62"/>
    </row>
    <row r="110">
      <c r="B110" s="62"/>
    </row>
    <row r="111">
      <c r="B111" s="62"/>
    </row>
    <row r="112">
      <c r="B112" s="62"/>
    </row>
    <row r="113">
      <c r="B113" s="62"/>
    </row>
    <row r="114">
      <c r="B114" s="62"/>
    </row>
    <row r="115">
      <c r="B115" s="62"/>
    </row>
    <row r="116">
      <c r="B116" s="62"/>
    </row>
    <row r="117">
      <c r="B117" s="62"/>
    </row>
    <row r="118">
      <c r="B118" s="62"/>
    </row>
    <row r="119">
      <c r="B119" s="62"/>
    </row>
    <row r="120">
      <c r="B120" s="62"/>
    </row>
    <row r="121">
      <c r="B121" s="62"/>
    </row>
    <row r="122">
      <c r="B122" s="62"/>
    </row>
    <row r="123">
      <c r="B123" s="62"/>
    </row>
    <row r="124">
      <c r="B124" s="62"/>
    </row>
    <row r="125">
      <c r="B125" s="62"/>
    </row>
    <row r="126">
      <c r="B126" s="62"/>
    </row>
    <row r="127">
      <c r="B127" s="62"/>
    </row>
    <row r="128">
      <c r="B128" s="62"/>
    </row>
    <row r="129">
      <c r="B129" s="62"/>
    </row>
    <row r="130">
      <c r="B130" s="62"/>
    </row>
    <row r="131">
      <c r="B131" s="62"/>
    </row>
    <row r="132">
      <c r="B132" s="62"/>
    </row>
    <row r="133">
      <c r="B133" s="62"/>
    </row>
    <row r="134">
      <c r="B134" s="62"/>
    </row>
    <row r="135">
      <c r="B135" s="62"/>
    </row>
    <row r="136">
      <c r="B136" s="62"/>
    </row>
    <row r="137">
      <c r="B137" s="62"/>
    </row>
    <row r="138">
      <c r="B138" s="62"/>
    </row>
    <row r="139">
      <c r="B139" s="62"/>
    </row>
    <row r="140">
      <c r="B140" s="62"/>
    </row>
    <row r="141">
      <c r="B141" s="62"/>
    </row>
    <row r="142">
      <c r="B142" s="62"/>
    </row>
    <row r="143">
      <c r="B143" s="62"/>
    </row>
    <row r="144">
      <c r="B144" s="62"/>
    </row>
    <row r="145">
      <c r="B145" s="62"/>
    </row>
    <row r="146">
      <c r="B146" s="62"/>
    </row>
    <row r="147">
      <c r="B147" s="62"/>
    </row>
    <row r="148">
      <c r="B148" s="62"/>
    </row>
    <row r="149">
      <c r="B149" s="62"/>
    </row>
    <row r="150">
      <c r="B150" s="62"/>
    </row>
    <row r="151">
      <c r="B151" s="62"/>
    </row>
    <row r="152">
      <c r="B152" s="62"/>
    </row>
    <row r="153">
      <c r="B153" s="62"/>
    </row>
    <row r="154">
      <c r="B154" s="62"/>
    </row>
    <row r="155">
      <c r="B155" s="62"/>
    </row>
    <row r="156">
      <c r="B156" s="62"/>
    </row>
    <row r="157">
      <c r="B157" s="62"/>
    </row>
    <row r="158">
      <c r="B158" s="62"/>
    </row>
    <row r="159">
      <c r="B159" s="62"/>
    </row>
    <row r="160">
      <c r="B160" s="62"/>
    </row>
    <row r="161">
      <c r="B161" s="62"/>
    </row>
    <row r="162">
      <c r="B162" s="62"/>
    </row>
    <row r="163">
      <c r="B163" s="62"/>
    </row>
    <row r="164">
      <c r="B164" s="62"/>
    </row>
    <row r="165">
      <c r="B165" s="62"/>
    </row>
    <row r="166">
      <c r="B166" s="62"/>
    </row>
    <row r="167">
      <c r="B167" s="62"/>
    </row>
    <row r="168">
      <c r="B168" s="62"/>
    </row>
    <row r="169">
      <c r="B169" s="62"/>
    </row>
    <row r="170">
      <c r="B170" s="62"/>
    </row>
    <row r="171">
      <c r="B171" s="62"/>
    </row>
    <row r="172">
      <c r="B172" s="62"/>
    </row>
    <row r="173">
      <c r="B173" s="62"/>
    </row>
    <row r="174">
      <c r="B174" s="62"/>
    </row>
    <row r="175">
      <c r="B175" s="62"/>
    </row>
    <row r="176">
      <c r="B176" s="62"/>
    </row>
    <row r="177">
      <c r="B177" s="62"/>
    </row>
    <row r="178">
      <c r="B178" s="62"/>
    </row>
    <row r="179">
      <c r="B179" s="62"/>
    </row>
    <row r="180">
      <c r="B180" s="62"/>
    </row>
    <row r="181">
      <c r="B181" s="62"/>
    </row>
    <row r="182">
      <c r="B182" s="62"/>
    </row>
    <row r="183">
      <c r="B183" s="62"/>
    </row>
    <row r="184">
      <c r="B184" s="62"/>
    </row>
    <row r="185">
      <c r="B185" s="62"/>
    </row>
    <row r="186">
      <c r="B186" s="62"/>
    </row>
    <row r="187">
      <c r="B187" s="62"/>
    </row>
    <row r="188">
      <c r="B188" s="62"/>
    </row>
    <row r="189">
      <c r="B189" s="62"/>
    </row>
    <row r="190">
      <c r="B190" s="62"/>
    </row>
    <row r="191">
      <c r="B191" s="62"/>
    </row>
    <row r="192">
      <c r="B192" s="62"/>
    </row>
    <row r="193">
      <c r="B193" s="62"/>
    </row>
    <row r="194">
      <c r="B194" s="62"/>
    </row>
    <row r="195">
      <c r="B195" s="62"/>
    </row>
    <row r="196">
      <c r="B196" s="62"/>
    </row>
    <row r="197">
      <c r="B197" s="62"/>
    </row>
    <row r="198">
      <c r="B198" s="62"/>
    </row>
    <row r="199">
      <c r="B199" s="62"/>
    </row>
    <row r="200">
      <c r="B200" s="62"/>
    </row>
    <row r="201">
      <c r="B201" s="62"/>
    </row>
    <row r="202">
      <c r="B202" s="62"/>
    </row>
    <row r="203">
      <c r="B203" s="62"/>
    </row>
    <row r="204">
      <c r="B204" s="62"/>
    </row>
    <row r="205">
      <c r="B205" s="62"/>
    </row>
    <row r="206">
      <c r="B206" s="62"/>
    </row>
    <row r="207">
      <c r="B207" s="62"/>
    </row>
    <row r="208">
      <c r="B208" s="62"/>
    </row>
    <row r="209">
      <c r="B209" s="62"/>
    </row>
    <row r="210">
      <c r="B210" s="62"/>
    </row>
    <row r="211">
      <c r="B211" s="62"/>
    </row>
    <row r="212">
      <c r="B212" s="62"/>
    </row>
    <row r="213">
      <c r="B213" s="62"/>
    </row>
    <row r="214">
      <c r="B214" s="62"/>
    </row>
    <row r="215">
      <c r="B215" s="62"/>
    </row>
    <row r="216">
      <c r="B216" s="62"/>
    </row>
    <row r="217">
      <c r="B217" s="62"/>
    </row>
    <row r="218">
      <c r="B218" s="62"/>
    </row>
    <row r="219">
      <c r="B219" s="62"/>
    </row>
    <row r="220">
      <c r="B220" s="62"/>
    </row>
    <row r="221">
      <c r="B221" s="62"/>
    </row>
    <row r="222">
      <c r="B222" s="62"/>
    </row>
    <row r="223">
      <c r="B223" s="62"/>
    </row>
    <row r="224">
      <c r="B224" s="62"/>
    </row>
    <row r="225">
      <c r="B225" s="62"/>
    </row>
    <row r="226">
      <c r="B226" s="62"/>
    </row>
    <row r="227">
      <c r="B227" s="62"/>
    </row>
    <row r="228">
      <c r="B228" s="62"/>
    </row>
    <row r="229">
      <c r="B229" s="62"/>
    </row>
    <row r="230">
      <c r="B230" s="62"/>
    </row>
    <row r="231">
      <c r="B231" s="62"/>
    </row>
    <row r="232">
      <c r="B232" s="62"/>
    </row>
    <row r="233">
      <c r="B233" s="62"/>
    </row>
    <row r="234">
      <c r="B234" s="62"/>
    </row>
    <row r="235">
      <c r="B235" s="62"/>
    </row>
    <row r="236">
      <c r="B236" s="62"/>
    </row>
    <row r="237">
      <c r="B237" s="62"/>
    </row>
    <row r="238">
      <c r="B238" s="62"/>
    </row>
    <row r="239">
      <c r="B239" s="62"/>
    </row>
    <row r="240">
      <c r="B240" s="62"/>
    </row>
    <row r="241">
      <c r="B241" s="62"/>
    </row>
    <row r="242">
      <c r="B242" s="62"/>
    </row>
    <row r="243">
      <c r="B243" s="62"/>
    </row>
    <row r="244">
      <c r="B244" s="62"/>
    </row>
    <row r="245">
      <c r="B245" s="62"/>
    </row>
    <row r="246">
      <c r="B246" s="62"/>
    </row>
    <row r="247">
      <c r="B247" s="62"/>
    </row>
    <row r="248">
      <c r="B248" s="62"/>
    </row>
    <row r="249">
      <c r="B249" s="62"/>
    </row>
    <row r="250">
      <c r="B250" s="62"/>
    </row>
    <row r="251">
      <c r="B251" s="62"/>
    </row>
    <row r="252">
      <c r="B252" s="62"/>
    </row>
    <row r="253">
      <c r="B253" s="62"/>
    </row>
    <row r="254">
      <c r="B254" s="62"/>
    </row>
    <row r="255">
      <c r="B255" s="62"/>
    </row>
    <row r="256">
      <c r="B256" s="62"/>
    </row>
    <row r="257">
      <c r="B257" s="62"/>
    </row>
    <row r="258">
      <c r="B258" s="62"/>
    </row>
    <row r="259">
      <c r="B259" s="62"/>
    </row>
    <row r="260">
      <c r="B260" s="62"/>
    </row>
    <row r="261">
      <c r="B261" s="62"/>
    </row>
    <row r="262">
      <c r="B262" s="62"/>
    </row>
    <row r="263">
      <c r="B263" s="62"/>
    </row>
    <row r="264">
      <c r="B264" s="62"/>
    </row>
    <row r="265">
      <c r="B265" s="62"/>
    </row>
    <row r="266">
      <c r="B266" s="62"/>
    </row>
    <row r="267">
      <c r="B267" s="62"/>
    </row>
    <row r="268">
      <c r="B268" s="62"/>
    </row>
    <row r="269">
      <c r="B269" s="62"/>
    </row>
    <row r="270">
      <c r="B270" s="62"/>
    </row>
    <row r="271">
      <c r="B271" s="62"/>
    </row>
    <row r="272">
      <c r="B272" s="62"/>
    </row>
    <row r="273">
      <c r="B273" s="62"/>
    </row>
    <row r="274">
      <c r="B274" s="62"/>
    </row>
    <row r="275">
      <c r="B275" s="62"/>
    </row>
    <row r="276">
      <c r="B276" s="62"/>
    </row>
    <row r="277">
      <c r="B277" s="62"/>
    </row>
    <row r="278">
      <c r="B278" s="62"/>
    </row>
    <row r="279">
      <c r="B279" s="62"/>
    </row>
    <row r="280">
      <c r="B280" s="62"/>
    </row>
    <row r="281">
      <c r="B281" s="62"/>
    </row>
    <row r="282">
      <c r="B282" s="62"/>
    </row>
    <row r="283">
      <c r="B283" s="62"/>
    </row>
    <row r="284">
      <c r="B284" s="62"/>
    </row>
    <row r="285">
      <c r="B285" s="62"/>
    </row>
    <row r="286">
      <c r="B286" s="62"/>
    </row>
    <row r="287">
      <c r="B287" s="62"/>
    </row>
    <row r="288">
      <c r="B288" s="62"/>
    </row>
    <row r="289">
      <c r="B289" s="62"/>
    </row>
    <row r="290">
      <c r="B290" s="62"/>
    </row>
    <row r="291">
      <c r="B291" s="62"/>
    </row>
    <row r="292">
      <c r="B292" s="62"/>
    </row>
    <row r="293">
      <c r="B293" s="62"/>
    </row>
    <row r="294">
      <c r="B294" s="62"/>
    </row>
    <row r="295">
      <c r="B295" s="62"/>
    </row>
    <row r="296">
      <c r="B296" s="62"/>
    </row>
    <row r="297">
      <c r="B297" s="62"/>
    </row>
    <row r="298">
      <c r="B298" s="62"/>
    </row>
    <row r="299">
      <c r="B299" s="62"/>
    </row>
    <row r="300">
      <c r="B300" s="62"/>
    </row>
    <row r="301">
      <c r="B301" s="62"/>
    </row>
    <row r="302">
      <c r="B302" s="62"/>
    </row>
    <row r="303">
      <c r="B303" s="62"/>
    </row>
    <row r="304">
      <c r="B304" s="62"/>
    </row>
    <row r="305">
      <c r="B305" s="62"/>
    </row>
    <row r="306">
      <c r="B306" s="62"/>
    </row>
    <row r="307">
      <c r="B307" s="62"/>
    </row>
    <row r="308">
      <c r="B308" s="62"/>
    </row>
    <row r="309">
      <c r="B309" s="62"/>
    </row>
    <row r="310">
      <c r="B310" s="62"/>
    </row>
    <row r="311">
      <c r="B311" s="62"/>
    </row>
    <row r="312">
      <c r="B312" s="62"/>
    </row>
    <row r="313">
      <c r="B313" s="62"/>
    </row>
    <row r="314">
      <c r="B314" s="62"/>
    </row>
    <row r="315">
      <c r="B315" s="62"/>
    </row>
    <row r="316">
      <c r="B316" s="62"/>
    </row>
    <row r="317">
      <c r="B317" s="62"/>
    </row>
    <row r="318">
      <c r="B318" s="62"/>
    </row>
    <row r="319">
      <c r="B319" s="62"/>
    </row>
    <row r="320">
      <c r="B320" s="62"/>
    </row>
    <row r="321">
      <c r="B321" s="62"/>
    </row>
    <row r="322">
      <c r="B322" s="62"/>
    </row>
    <row r="323">
      <c r="B323" s="62"/>
    </row>
    <row r="324">
      <c r="B324" s="62"/>
    </row>
    <row r="325">
      <c r="B325" s="62"/>
    </row>
    <row r="326">
      <c r="B326" s="62"/>
    </row>
    <row r="327">
      <c r="B327" s="62"/>
    </row>
    <row r="328">
      <c r="B328" s="62"/>
    </row>
    <row r="329">
      <c r="B329" s="62"/>
    </row>
    <row r="330">
      <c r="B330" s="62"/>
    </row>
    <row r="331">
      <c r="B331" s="62"/>
    </row>
    <row r="332">
      <c r="B332" s="62"/>
    </row>
    <row r="333">
      <c r="B333" s="62"/>
    </row>
    <row r="334">
      <c r="B334" s="62"/>
    </row>
    <row r="335">
      <c r="B335" s="62"/>
    </row>
    <row r="336">
      <c r="B336" s="62"/>
    </row>
    <row r="337">
      <c r="B337" s="62"/>
    </row>
    <row r="338">
      <c r="B338" s="62"/>
    </row>
    <row r="339">
      <c r="B339" s="62"/>
    </row>
    <row r="340">
      <c r="B340" s="62"/>
    </row>
    <row r="341">
      <c r="B341" s="62"/>
    </row>
    <row r="342">
      <c r="B342" s="62"/>
    </row>
    <row r="343">
      <c r="B343" s="62"/>
    </row>
    <row r="344">
      <c r="B344" s="62"/>
    </row>
    <row r="345">
      <c r="B345" s="62"/>
    </row>
    <row r="346">
      <c r="B346" s="62"/>
    </row>
    <row r="347">
      <c r="B347" s="62"/>
    </row>
    <row r="348">
      <c r="B348" s="62"/>
    </row>
    <row r="349">
      <c r="B349" s="62"/>
    </row>
    <row r="350">
      <c r="B350" s="62"/>
    </row>
    <row r="351">
      <c r="B351" s="62"/>
    </row>
    <row r="352">
      <c r="B352" s="62"/>
    </row>
    <row r="353">
      <c r="B353" s="62"/>
    </row>
    <row r="354">
      <c r="B354" s="62"/>
    </row>
    <row r="355">
      <c r="B355" s="62"/>
    </row>
    <row r="356">
      <c r="B356" s="62"/>
    </row>
    <row r="357">
      <c r="B357" s="62"/>
    </row>
    <row r="358">
      <c r="B358" s="62"/>
    </row>
    <row r="359">
      <c r="B359" s="62"/>
    </row>
    <row r="360">
      <c r="B360" s="62"/>
    </row>
    <row r="361">
      <c r="B361" s="62"/>
    </row>
    <row r="362">
      <c r="B362" s="62"/>
    </row>
    <row r="363">
      <c r="B363" s="62"/>
    </row>
    <row r="364">
      <c r="B364" s="62"/>
    </row>
    <row r="365">
      <c r="B365" s="62"/>
    </row>
    <row r="366">
      <c r="B366" s="62"/>
    </row>
    <row r="367">
      <c r="B367" s="62"/>
    </row>
    <row r="368">
      <c r="B368" s="62"/>
    </row>
    <row r="369">
      <c r="B369" s="62"/>
    </row>
    <row r="370">
      <c r="B370" s="62"/>
    </row>
    <row r="371">
      <c r="B371" s="62"/>
    </row>
    <row r="372">
      <c r="B372" s="62"/>
    </row>
    <row r="373">
      <c r="B373" s="62"/>
    </row>
    <row r="374">
      <c r="B374" s="62"/>
    </row>
    <row r="375">
      <c r="B375" s="62"/>
    </row>
    <row r="376">
      <c r="B376" s="62"/>
    </row>
    <row r="377">
      <c r="B377" s="62"/>
    </row>
    <row r="378">
      <c r="B378" s="62"/>
    </row>
    <row r="379">
      <c r="B379" s="62"/>
    </row>
    <row r="380">
      <c r="B380" s="62"/>
    </row>
    <row r="381">
      <c r="B381" s="62"/>
    </row>
    <row r="382">
      <c r="B382" s="62"/>
    </row>
    <row r="383">
      <c r="B383" s="62"/>
    </row>
    <row r="384">
      <c r="B384" s="62"/>
    </row>
    <row r="385">
      <c r="B385" s="62"/>
    </row>
    <row r="386">
      <c r="B386" s="62"/>
    </row>
    <row r="387">
      <c r="B387" s="62"/>
    </row>
    <row r="388">
      <c r="B388" s="62"/>
    </row>
    <row r="389">
      <c r="B389" s="62"/>
    </row>
    <row r="390">
      <c r="B390" s="62"/>
    </row>
    <row r="391">
      <c r="B391" s="62"/>
    </row>
    <row r="392">
      <c r="B392" s="62"/>
    </row>
    <row r="393">
      <c r="B393" s="62"/>
    </row>
    <row r="394">
      <c r="B394" s="62"/>
    </row>
    <row r="395">
      <c r="B395" s="62"/>
    </row>
    <row r="396">
      <c r="B396" s="62"/>
    </row>
    <row r="397">
      <c r="B397" s="62"/>
    </row>
    <row r="398">
      <c r="B398" s="62"/>
    </row>
    <row r="399">
      <c r="B399" s="62"/>
    </row>
    <row r="400">
      <c r="B400" s="62"/>
    </row>
    <row r="401">
      <c r="B401" s="62"/>
    </row>
    <row r="402">
      <c r="B402" s="62"/>
    </row>
    <row r="403">
      <c r="B403" s="62"/>
    </row>
    <row r="404">
      <c r="B404" s="62"/>
    </row>
    <row r="405">
      <c r="B405" s="62"/>
    </row>
    <row r="406">
      <c r="B406" s="62"/>
    </row>
    <row r="407">
      <c r="B407" s="62"/>
    </row>
    <row r="408">
      <c r="B408" s="62"/>
    </row>
    <row r="409">
      <c r="B409" s="62"/>
    </row>
    <row r="410">
      <c r="B410" s="62"/>
    </row>
    <row r="411">
      <c r="B411" s="62"/>
    </row>
    <row r="412">
      <c r="B412" s="62"/>
    </row>
    <row r="413">
      <c r="B413" s="62"/>
    </row>
    <row r="414">
      <c r="B414" s="62"/>
    </row>
    <row r="415">
      <c r="B415" s="62"/>
    </row>
    <row r="416">
      <c r="B416" s="62"/>
    </row>
    <row r="417">
      <c r="B417" s="62"/>
    </row>
    <row r="418">
      <c r="B418" s="62"/>
    </row>
    <row r="419">
      <c r="B419" s="62"/>
    </row>
    <row r="420">
      <c r="B420" s="62"/>
    </row>
    <row r="421">
      <c r="B421" s="62"/>
    </row>
    <row r="422">
      <c r="B422" s="62"/>
    </row>
    <row r="423">
      <c r="B423" s="62"/>
    </row>
    <row r="424">
      <c r="B424" s="62"/>
    </row>
    <row r="425">
      <c r="B425" s="62"/>
    </row>
    <row r="426">
      <c r="B426" s="62"/>
    </row>
    <row r="427">
      <c r="B427" s="62"/>
    </row>
    <row r="428">
      <c r="B428" s="62"/>
    </row>
    <row r="429">
      <c r="B429" s="62"/>
    </row>
    <row r="430">
      <c r="B430" s="62"/>
    </row>
    <row r="431">
      <c r="B431" s="62"/>
    </row>
    <row r="432">
      <c r="B432" s="62"/>
    </row>
    <row r="433">
      <c r="B433" s="62"/>
    </row>
    <row r="434">
      <c r="B434" s="62"/>
    </row>
    <row r="435">
      <c r="B435" s="62"/>
    </row>
    <row r="436">
      <c r="B436" s="62"/>
    </row>
    <row r="437">
      <c r="B437" s="62"/>
    </row>
    <row r="438">
      <c r="B438" s="62"/>
    </row>
    <row r="439">
      <c r="B439" s="62"/>
    </row>
    <row r="440">
      <c r="B440" s="62"/>
    </row>
    <row r="441">
      <c r="B441" s="62"/>
    </row>
    <row r="442">
      <c r="B442" s="62"/>
    </row>
    <row r="443">
      <c r="B443" s="62"/>
    </row>
    <row r="444">
      <c r="B444" s="62"/>
    </row>
    <row r="445">
      <c r="B445" s="62"/>
    </row>
    <row r="446">
      <c r="B446" s="62"/>
    </row>
    <row r="447">
      <c r="B447" s="62"/>
    </row>
    <row r="448">
      <c r="B448" s="62"/>
    </row>
    <row r="449">
      <c r="B449" s="62"/>
    </row>
    <row r="450">
      <c r="B450" s="62"/>
    </row>
    <row r="451">
      <c r="B451" s="62"/>
    </row>
    <row r="452">
      <c r="B452" s="62"/>
    </row>
    <row r="453">
      <c r="B453" s="62"/>
    </row>
    <row r="454">
      <c r="B454" s="62"/>
    </row>
    <row r="455">
      <c r="B455" s="62"/>
    </row>
    <row r="456">
      <c r="B456" s="62"/>
    </row>
    <row r="457">
      <c r="B457" s="62"/>
    </row>
    <row r="458">
      <c r="B458" s="62"/>
    </row>
    <row r="459">
      <c r="B459" s="62"/>
    </row>
    <row r="460">
      <c r="B460" s="62"/>
    </row>
    <row r="461">
      <c r="B461" s="62"/>
    </row>
    <row r="462">
      <c r="B462" s="62"/>
    </row>
    <row r="463">
      <c r="B463" s="62"/>
    </row>
    <row r="464">
      <c r="B464" s="62"/>
    </row>
    <row r="465">
      <c r="B465" s="62"/>
    </row>
    <row r="466">
      <c r="B466" s="62"/>
    </row>
    <row r="467">
      <c r="B467" s="62"/>
    </row>
    <row r="468">
      <c r="B468" s="62"/>
    </row>
    <row r="469">
      <c r="B469" s="62"/>
    </row>
    <row r="470">
      <c r="B470" s="62"/>
    </row>
    <row r="471">
      <c r="B471" s="62"/>
    </row>
    <row r="472">
      <c r="B472" s="62"/>
    </row>
    <row r="473">
      <c r="B473" s="62"/>
    </row>
    <row r="474">
      <c r="B474" s="62"/>
    </row>
    <row r="475">
      <c r="B475" s="62"/>
    </row>
    <row r="476">
      <c r="B476" s="62"/>
    </row>
    <row r="477">
      <c r="B477" s="62"/>
    </row>
    <row r="478">
      <c r="B478" s="62"/>
    </row>
    <row r="479">
      <c r="B479" s="62"/>
    </row>
    <row r="480">
      <c r="B480" s="62"/>
    </row>
    <row r="481">
      <c r="B481" s="62"/>
    </row>
    <row r="482">
      <c r="B482" s="62"/>
    </row>
    <row r="483">
      <c r="B483" s="62"/>
    </row>
    <row r="484">
      <c r="B484" s="62"/>
    </row>
    <row r="485">
      <c r="B485" s="62"/>
    </row>
    <row r="486">
      <c r="B486" s="62"/>
    </row>
    <row r="487">
      <c r="B487" s="62"/>
    </row>
    <row r="488">
      <c r="B488" s="62"/>
    </row>
    <row r="489">
      <c r="B489" s="62"/>
    </row>
    <row r="490">
      <c r="B490" s="62"/>
    </row>
    <row r="491">
      <c r="B491" s="62"/>
    </row>
    <row r="492">
      <c r="B492" s="62"/>
    </row>
    <row r="493">
      <c r="B493" s="62"/>
    </row>
    <row r="494">
      <c r="B494" s="62"/>
    </row>
    <row r="495">
      <c r="B495" s="62"/>
    </row>
    <row r="496">
      <c r="B496" s="62"/>
    </row>
    <row r="497">
      <c r="B497" s="62"/>
    </row>
    <row r="498">
      <c r="B498" s="62"/>
    </row>
    <row r="499">
      <c r="B499" s="62"/>
    </row>
    <row r="500">
      <c r="B500" s="62"/>
    </row>
    <row r="501">
      <c r="B501" s="62"/>
    </row>
    <row r="502">
      <c r="B502" s="62"/>
    </row>
    <row r="503">
      <c r="B503" s="62"/>
    </row>
    <row r="504">
      <c r="B504" s="62"/>
    </row>
    <row r="505">
      <c r="B505" s="62"/>
    </row>
    <row r="506">
      <c r="B506" s="62"/>
    </row>
    <row r="507">
      <c r="B507" s="62"/>
    </row>
    <row r="508">
      <c r="B508" s="62"/>
    </row>
    <row r="509">
      <c r="B509" s="62"/>
    </row>
    <row r="510">
      <c r="B510" s="62"/>
    </row>
    <row r="511">
      <c r="B511" s="62"/>
    </row>
    <row r="512">
      <c r="B512" s="62"/>
    </row>
    <row r="513">
      <c r="B513" s="62"/>
    </row>
    <row r="514">
      <c r="B514" s="62"/>
    </row>
    <row r="515">
      <c r="B515" s="62"/>
    </row>
    <row r="516">
      <c r="B516" s="62"/>
    </row>
    <row r="517">
      <c r="B517" s="62"/>
    </row>
    <row r="518">
      <c r="B518" s="62"/>
    </row>
    <row r="519">
      <c r="B519" s="62"/>
    </row>
    <row r="520">
      <c r="B520" s="62"/>
    </row>
    <row r="521">
      <c r="B521" s="62"/>
    </row>
    <row r="522">
      <c r="B522" s="62"/>
    </row>
    <row r="523">
      <c r="B523" s="62"/>
    </row>
    <row r="524">
      <c r="B524" s="62"/>
    </row>
    <row r="525">
      <c r="B525" s="62"/>
    </row>
    <row r="526">
      <c r="B526" s="62"/>
    </row>
    <row r="527">
      <c r="B527" s="62"/>
    </row>
    <row r="528">
      <c r="B528" s="62"/>
    </row>
    <row r="529">
      <c r="B529" s="62"/>
    </row>
    <row r="530">
      <c r="B530" s="62"/>
    </row>
    <row r="531">
      <c r="B531" s="62"/>
    </row>
    <row r="532">
      <c r="B532" s="62"/>
    </row>
    <row r="533">
      <c r="B533" s="62"/>
    </row>
    <row r="534">
      <c r="B534" s="62"/>
    </row>
    <row r="535">
      <c r="B535" s="62"/>
    </row>
    <row r="536">
      <c r="B536" s="62"/>
    </row>
    <row r="537">
      <c r="B537" s="62"/>
    </row>
    <row r="538">
      <c r="B538" s="62"/>
    </row>
    <row r="539">
      <c r="B539" s="62"/>
    </row>
    <row r="540">
      <c r="B540" s="62"/>
    </row>
    <row r="541">
      <c r="B541" s="62"/>
    </row>
    <row r="542">
      <c r="B542" s="62"/>
    </row>
    <row r="543">
      <c r="B543" s="62"/>
    </row>
    <row r="544">
      <c r="B544" s="62"/>
    </row>
    <row r="545">
      <c r="B545" s="62"/>
    </row>
    <row r="546">
      <c r="B546" s="62"/>
    </row>
    <row r="547">
      <c r="B547" s="62"/>
    </row>
    <row r="548">
      <c r="B548" s="62"/>
    </row>
    <row r="549">
      <c r="B549" s="62"/>
    </row>
    <row r="550">
      <c r="B550" s="62"/>
    </row>
    <row r="551">
      <c r="B551" s="62"/>
    </row>
    <row r="552">
      <c r="B552" s="62"/>
    </row>
    <row r="553">
      <c r="B553" s="62"/>
    </row>
    <row r="554">
      <c r="B554" s="62"/>
    </row>
    <row r="555">
      <c r="B555" s="62"/>
    </row>
    <row r="556">
      <c r="B556" s="62"/>
    </row>
    <row r="557">
      <c r="B557" s="62"/>
    </row>
    <row r="558">
      <c r="B558" s="62"/>
    </row>
    <row r="559">
      <c r="B559" s="62"/>
    </row>
    <row r="560">
      <c r="B560" s="62"/>
    </row>
    <row r="561">
      <c r="B561" s="62"/>
    </row>
    <row r="562">
      <c r="B562" s="62"/>
    </row>
    <row r="563">
      <c r="B563" s="62"/>
    </row>
    <row r="564">
      <c r="B564" s="62"/>
    </row>
    <row r="565">
      <c r="B565" s="62"/>
    </row>
    <row r="566">
      <c r="B566" s="62"/>
    </row>
    <row r="567">
      <c r="B567" s="62"/>
    </row>
    <row r="568">
      <c r="B568" s="62"/>
    </row>
    <row r="569">
      <c r="B569" s="62"/>
    </row>
    <row r="570">
      <c r="B570" s="62"/>
    </row>
    <row r="571">
      <c r="B571" s="62"/>
    </row>
    <row r="572">
      <c r="B572" s="62"/>
    </row>
    <row r="573">
      <c r="B573" s="62"/>
    </row>
    <row r="574">
      <c r="B574" s="62"/>
    </row>
    <row r="575">
      <c r="B575" s="62"/>
    </row>
    <row r="576">
      <c r="B576" s="62"/>
    </row>
    <row r="577">
      <c r="B577" s="62"/>
    </row>
    <row r="578">
      <c r="B578" s="62"/>
    </row>
    <row r="579">
      <c r="B579" s="62"/>
    </row>
    <row r="580">
      <c r="B580" s="62"/>
    </row>
    <row r="581">
      <c r="B581" s="62"/>
    </row>
    <row r="582">
      <c r="B582" s="62"/>
    </row>
    <row r="583">
      <c r="B583" s="62"/>
    </row>
    <row r="584">
      <c r="B584" s="62"/>
    </row>
    <row r="585">
      <c r="B585" s="62"/>
    </row>
    <row r="586">
      <c r="B586" s="62"/>
    </row>
    <row r="587">
      <c r="B587" s="62"/>
    </row>
    <row r="588">
      <c r="B588" s="62"/>
    </row>
    <row r="589">
      <c r="B589" s="62"/>
    </row>
    <row r="590">
      <c r="B590" s="62"/>
    </row>
    <row r="591">
      <c r="B591" s="62"/>
    </row>
    <row r="592">
      <c r="B592" s="62"/>
    </row>
    <row r="593">
      <c r="B593" s="62"/>
    </row>
    <row r="594">
      <c r="B594" s="62"/>
    </row>
    <row r="595">
      <c r="B595" s="62"/>
    </row>
    <row r="596">
      <c r="B596" s="62"/>
    </row>
    <row r="597">
      <c r="B597" s="62"/>
    </row>
    <row r="598">
      <c r="B598" s="62"/>
    </row>
    <row r="599">
      <c r="B599" s="62"/>
    </row>
    <row r="600">
      <c r="B600" s="62"/>
    </row>
    <row r="601">
      <c r="B601" s="62"/>
    </row>
    <row r="602">
      <c r="B602" s="62"/>
    </row>
    <row r="603">
      <c r="B603" s="62"/>
    </row>
    <row r="604">
      <c r="B604" s="62"/>
    </row>
    <row r="605">
      <c r="B605" s="62"/>
    </row>
    <row r="606">
      <c r="B606" s="62"/>
    </row>
    <row r="607">
      <c r="B607" s="62"/>
    </row>
    <row r="608">
      <c r="B608" s="62"/>
    </row>
    <row r="609">
      <c r="B609" s="62"/>
    </row>
    <row r="610">
      <c r="B610" s="62"/>
    </row>
    <row r="611">
      <c r="B611" s="62"/>
    </row>
    <row r="612">
      <c r="B612" s="62"/>
    </row>
    <row r="613">
      <c r="B613" s="62"/>
    </row>
    <row r="614">
      <c r="B614" s="62"/>
    </row>
    <row r="615">
      <c r="B615" s="62"/>
    </row>
    <row r="616">
      <c r="B616" s="62"/>
    </row>
    <row r="617">
      <c r="B617" s="62"/>
    </row>
    <row r="618">
      <c r="B618" s="62"/>
    </row>
    <row r="619">
      <c r="B619" s="62"/>
    </row>
    <row r="620">
      <c r="B620" s="62"/>
    </row>
    <row r="621">
      <c r="B621" s="62"/>
    </row>
    <row r="622">
      <c r="B622" s="62"/>
    </row>
    <row r="623">
      <c r="B623" s="62"/>
    </row>
    <row r="624">
      <c r="B624" s="62"/>
    </row>
    <row r="625">
      <c r="B625" s="62"/>
    </row>
    <row r="626">
      <c r="B626" s="62"/>
    </row>
    <row r="627">
      <c r="B627" s="62"/>
    </row>
    <row r="628">
      <c r="B628" s="62"/>
    </row>
    <row r="629">
      <c r="B629" s="62"/>
    </row>
    <row r="630">
      <c r="B630" s="62"/>
    </row>
    <row r="631">
      <c r="B631" s="62"/>
    </row>
    <row r="632">
      <c r="B632" s="62"/>
    </row>
    <row r="633">
      <c r="B633" s="62"/>
    </row>
    <row r="634">
      <c r="B634" s="62"/>
    </row>
    <row r="635">
      <c r="B635" s="62"/>
    </row>
    <row r="636">
      <c r="B636" s="62"/>
    </row>
    <row r="637">
      <c r="B637" s="62"/>
    </row>
    <row r="638">
      <c r="B638" s="62"/>
    </row>
    <row r="639">
      <c r="B639" s="62"/>
    </row>
    <row r="640">
      <c r="B640" s="62"/>
    </row>
    <row r="641">
      <c r="B641" s="62"/>
    </row>
    <row r="642">
      <c r="B642" s="62"/>
    </row>
    <row r="643">
      <c r="B643" s="62"/>
    </row>
    <row r="644">
      <c r="B644" s="62"/>
    </row>
    <row r="645">
      <c r="B645" s="62"/>
    </row>
    <row r="646">
      <c r="B646" s="62"/>
    </row>
    <row r="647">
      <c r="B647" s="62"/>
    </row>
    <row r="648">
      <c r="B648" s="62"/>
    </row>
    <row r="649">
      <c r="B649" s="62"/>
    </row>
    <row r="650">
      <c r="B650" s="62"/>
    </row>
    <row r="651">
      <c r="B651" s="62"/>
    </row>
    <row r="652">
      <c r="B652" s="62"/>
    </row>
    <row r="653">
      <c r="B653" s="62"/>
    </row>
    <row r="654">
      <c r="B654" s="62"/>
    </row>
    <row r="655">
      <c r="B655" s="62"/>
    </row>
    <row r="656">
      <c r="B656" s="62"/>
    </row>
    <row r="657">
      <c r="B657" s="62"/>
    </row>
    <row r="658">
      <c r="B658" s="62"/>
    </row>
    <row r="659">
      <c r="B659" s="62"/>
    </row>
    <row r="660">
      <c r="B660" s="62"/>
    </row>
    <row r="661">
      <c r="B661" s="62"/>
    </row>
    <row r="662">
      <c r="B662" s="62"/>
    </row>
    <row r="663">
      <c r="B663" s="62"/>
    </row>
    <row r="664">
      <c r="B664" s="62"/>
    </row>
    <row r="665">
      <c r="B665" s="62"/>
    </row>
    <row r="666">
      <c r="B666" s="62"/>
    </row>
    <row r="667">
      <c r="B667" s="62"/>
    </row>
    <row r="668">
      <c r="B668" s="62"/>
    </row>
    <row r="669">
      <c r="B669" s="62"/>
    </row>
    <row r="670">
      <c r="B670" s="62"/>
    </row>
    <row r="671">
      <c r="B671" s="62"/>
    </row>
    <row r="672">
      <c r="B672" s="62"/>
    </row>
    <row r="673">
      <c r="B673" s="62"/>
    </row>
    <row r="674">
      <c r="B674" s="62"/>
    </row>
    <row r="675">
      <c r="B675" s="62"/>
    </row>
    <row r="676">
      <c r="B676" s="62"/>
    </row>
    <row r="677">
      <c r="B677" s="62"/>
    </row>
    <row r="678">
      <c r="B678" s="62"/>
    </row>
    <row r="679">
      <c r="B679" s="62"/>
    </row>
    <row r="680">
      <c r="B680" s="62"/>
    </row>
    <row r="681">
      <c r="B681" s="62"/>
    </row>
    <row r="682">
      <c r="B682" s="62"/>
    </row>
    <row r="683">
      <c r="B683" s="62"/>
    </row>
    <row r="684">
      <c r="B684" s="62"/>
    </row>
    <row r="685">
      <c r="B685" s="62"/>
    </row>
    <row r="686">
      <c r="B686" s="62"/>
    </row>
    <row r="687">
      <c r="B687" s="62"/>
    </row>
    <row r="688">
      <c r="B688" s="62"/>
    </row>
    <row r="689">
      <c r="B689" s="62"/>
    </row>
    <row r="690">
      <c r="B690" s="62"/>
    </row>
    <row r="691">
      <c r="B691" s="62"/>
    </row>
    <row r="692">
      <c r="B692" s="62"/>
    </row>
    <row r="693">
      <c r="B693" s="62"/>
    </row>
    <row r="694">
      <c r="B694" s="62"/>
    </row>
    <row r="695">
      <c r="B695" s="62"/>
    </row>
    <row r="696">
      <c r="B696" s="62"/>
    </row>
    <row r="697">
      <c r="B697" s="62"/>
    </row>
    <row r="698">
      <c r="B698" s="62"/>
    </row>
    <row r="699">
      <c r="B699" s="62"/>
    </row>
    <row r="700">
      <c r="B700" s="62"/>
    </row>
    <row r="701">
      <c r="B701" s="62"/>
    </row>
    <row r="702">
      <c r="B702" s="62"/>
    </row>
    <row r="703">
      <c r="B703" s="62"/>
    </row>
    <row r="704">
      <c r="B704" s="62"/>
    </row>
    <row r="705">
      <c r="B705" s="62"/>
    </row>
    <row r="706">
      <c r="B706" s="62"/>
    </row>
    <row r="707">
      <c r="B707" s="62"/>
    </row>
    <row r="708">
      <c r="B708" s="62"/>
    </row>
    <row r="709">
      <c r="B709" s="62"/>
    </row>
    <row r="710">
      <c r="B710" s="62"/>
    </row>
    <row r="711">
      <c r="B711" s="62"/>
    </row>
    <row r="712">
      <c r="B712" s="62"/>
    </row>
    <row r="713">
      <c r="B713" s="62"/>
    </row>
    <row r="714">
      <c r="B714" s="62"/>
    </row>
    <row r="715">
      <c r="B715" s="62"/>
    </row>
    <row r="716">
      <c r="B716" s="62"/>
    </row>
    <row r="717">
      <c r="B717" s="62"/>
    </row>
    <row r="718">
      <c r="B718" s="62"/>
    </row>
    <row r="719">
      <c r="B719" s="62"/>
    </row>
    <row r="720">
      <c r="B720" s="62"/>
    </row>
    <row r="721">
      <c r="B721" s="62"/>
    </row>
    <row r="722">
      <c r="B722" s="62"/>
    </row>
    <row r="723">
      <c r="B723" s="62"/>
    </row>
    <row r="724">
      <c r="B724" s="62"/>
    </row>
    <row r="725">
      <c r="B725" s="62"/>
    </row>
    <row r="726">
      <c r="B726" s="62"/>
    </row>
    <row r="727">
      <c r="B727" s="62"/>
    </row>
    <row r="728">
      <c r="B728" s="62"/>
    </row>
    <row r="729">
      <c r="B729" s="62"/>
    </row>
    <row r="730">
      <c r="B730" s="62"/>
    </row>
    <row r="731">
      <c r="B731" s="62"/>
    </row>
    <row r="732">
      <c r="B732" s="62"/>
    </row>
    <row r="733">
      <c r="B733" s="62"/>
    </row>
    <row r="734">
      <c r="B734" s="62"/>
    </row>
    <row r="735">
      <c r="B735" s="62"/>
    </row>
    <row r="736">
      <c r="B736" s="62"/>
    </row>
    <row r="737">
      <c r="B737" s="62"/>
    </row>
    <row r="738">
      <c r="B738" s="62"/>
    </row>
    <row r="739">
      <c r="B739" s="62"/>
    </row>
    <row r="740">
      <c r="B740" s="62"/>
    </row>
    <row r="741">
      <c r="B741" s="62"/>
    </row>
    <row r="742">
      <c r="B742" s="62"/>
    </row>
    <row r="743">
      <c r="B743" s="62"/>
    </row>
    <row r="744">
      <c r="B744" s="62"/>
    </row>
    <row r="745">
      <c r="B745" s="62"/>
    </row>
    <row r="746">
      <c r="B746" s="62"/>
    </row>
    <row r="747">
      <c r="B747" s="62"/>
    </row>
    <row r="748">
      <c r="B748" s="62"/>
    </row>
    <row r="749">
      <c r="B749" s="62"/>
    </row>
    <row r="750">
      <c r="B750" s="62"/>
    </row>
    <row r="751">
      <c r="B751" s="62"/>
    </row>
    <row r="752">
      <c r="B752" s="62"/>
    </row>
    <row r="753">
      <c r="B753" s="62"/>
    </row>
    <row r="754">
      <c r="B754" s="62"/>
    </row>
    <row r="755">
      <c r="B755" s="62"/>
    </row>
    <row r="756">
      <c r="B756" s="62"/>
    </row>
    <row r="757">
      <c r="B757" s="62"/>
    </row>
    <row r="758">
      <c r="B758" s="62"/>
    </row>
    <row r="759">
      <c r="B759" s="62"/>
    </row>
    <row r="760">
      <c r="B760" s="62"/>
    </row>
    <row r="761">
      <c r="B761" s="62"/>
    </row>
    <row r="762">
      <c r="B762" s="62"/>
    </row>
    <row r="763">
      <c r="B763" s="62"/>
    </row>
    <row r="764">
      <c r="B764" s="62"/>
    </row>
    <row r="765">
      <c r="B765" s="62"/>
    </row>
    <row r="766">
      <c r="B766" s="62"/>
    </row>
    <row r="767">
      <c r="B767" s="62"/>
    </row>
    <row r="768">
      <c r="B768" s="62"/>
    </row>
    <row r="769">
      <c r="B769" s="62"/>
    </row>
    <row r="770">
      <c r="B770" s="62"/>
    </row>
    <row r="771">
      <c r="B771" s="62"/>
    </row>
    <row r="772">
      <c r="B772" s="62"/>
    </row>
    <row r="773">
      <c r="B773" s="62"/>
    </row>
    <row r="774">
      <c r="B774" s="62"/>
    </row>
    <row r="775">
      <c r="B775" s="62"/>
    </row>
    <row r="776">
      <c r="B776" s="62"/>
    </row>
    <row r="777">
      <c r="B777" s="62"/>
    </row>
    <row r="778">
      <c r="B778" s="62"/>
    </row>
    <row r="779">
      <c r="B779" s="62"/>
    </row>
    <row r="780">
      <c r="B780" s="62"/>
    </row>
    <row r="781">
      <c r="B781" s="62"/>
    </row>
    <row r="782">
      <c r="B782" s="62"/>
    </row>
    <row r="783">
      <c r="B783" s="62"/>
    </row>
    <row r="784">
      <c r="B784" s="62"/>
    </row>
    <row r="785">
      <c r="B785" s="62"/>
    </row>
    <row r="786">
      <c r="B786" s="62"/>
    </row>
    <row r="787">
      <c r="B787" s="62"/>
    </row>
    <row r="788">
      <c r="B788" s="62"/>
    </row>
    <row r="789">
      <c r="B789" s="62"/>
    </row>
    <row r="790">
      <c r="B790" s="62"/>
    </row>
    <row r="791">
      <c r="B791" s="62"/>
    </row>
    <row r="792">
      <c r="B792" s="62"/>
    </row>
    <row r="793">
      <c r="B793" s="62"/>
    </row>
    <row r="794">
      <c r="B794" s="62"/>
    </row>
    <row r="795">
      <c r="B795" s="62"/>
    </row>
    <row r="796">
      <c r="B796" s="62"/>
    </row>
    <row r="797">
      <c r="B797" s="62"/>
    </row>
    <row r="798">
      <c r="B798" s="62"/>
    </row>
    <row r="799">
      <c r="B799" s="62"/>
    </row>
    <row r="800">
      <c r="B800" s="62"/>
    </row>
    <row r="801">
      <c r="B801" s="62"/>
    </row>
    <row r="802">
      <c r="B802" s="62"/>
    </row>
    <row r="803">
      <c r="B803" s="62"/>
    </row>
    <row r="804">
      <c r="B804" s="62"/>
    </row>
    <row r="805">
      <c r="B805" s="62"/>
    </row>
    <row r="806">
      <c r="B806" s="62"/>
    </row>
    <row r="807">
      <c r="B807" s="62"/>
    </row>
    <row r="808">
      <c r="B808" s="62"/>
    </row>
    <row r="809">
      <c r="B809" s="62"/>
    </row>
    <row r="810">
      <c r="B810" s="62"/>
    </row>
    <row r="811">
      <c r="B811" s="62"/>
    </row>
    <row r="812">
      <c r="B812" s="62"/>
    </row>
    <row r="813">
      <c r="B813" s="62"/>
    </row>
    <row r="814">
      <c r="B814" s="62"/>
    </row>
    <row r="815">
      <c r="B815" s="62"/>
    </row>
    <row r="816">
      <c r="B816" s="62"/>
    </row>
    <row r="817">
      <c r="B817" s="62"/>
    </row>
    <row r="818">
      <c r="B818" s="62"/>
    </row>
    <row r="819">
      <c r="B819" s="62"/>
    </row>
    <row r="820">
      <c r="B820" s="62"/>
    </row>
    <row r="821">
      <c r="B821" s="62"/>
    </row>
    <row r="822">
      <c r="B822" s="62"/>
    </row>
    <row r="823">
      <c r="B823" s="62"/>
    </row>
    <row r="824">
      <c r="B824" s="62"/>
    </row>
    <row r="825">
      <c r="B825" s="62"/>
    </row>
    <row r="826">
      <c r="B826" s="62"/>
    </row>
    <row r="827">
      <c r="B827" s="62"/>
    </row>
    <row r="828">
      <c r="B828" s="62"/>
    </row>
    <row r="829">
      <c r="B829" s="62"/>
    </row>
    <row r="830">
      <c r="B830" s="62"/>
    </row>
    <row r="831">
      <c r="B831" s="62"/>
    </row>
    <row r="832">
      <c r="B832" s="62"/>
    </row>
    <row r="833">
      <c r="B833" s="62"/>
    </row>
    <row r="834">
      <c r="B834" s="62"/>
    </row>
    <row r="835">
      <c r="B835" s="62"/>
    </row>
    <row r="836">
      <c r="B836" s="62"/>
    </row>
    <row r="837">
      <c r="B837" s="62"/>
    </row>
    <row r="838">
      <c r="B838" s="62"/>
    </row>
    <row r="839">
      <c r="B839" s="62"/>
    </row>
    <row r="840">
      <c r="B840" s="62"/>
    </row>
    <row r="841">
      <c r="B841" s="62"/>
    </row>
    <row r="842">
      <c r="B842" s="62"/>
    </row>
    <row r="843">
      <c r="B843" s="62"/>
    </row>
    <row r="844">
      <c r="B844" s="62"/>
    </row>
    <row r="845">
      <c r="B845" s="62"/>
    </row>
    <row r="846">
      <c r="B846" s="62"/>
    </row>
    <row r="847">
      <c r="B847" s="62"/>
    </row>
    <row r="848">
      <c r="B848" s="62"/>
    </row>
    <row r="849">
      <c r="B849" s="62"/>
    </row>
    <row r="850">
      <c r="B850" s="62"/>
    </row>
    <row r="851">
      <c r="B851" s="62"/>
    </row>
    <row r="852">
      <c r="B852" s="62"/>
    </row>
    <row r="853">
      <c r="B853" s="62"/>
    </row>
    <row r="854">
      <c r="B854" s="62"/>
    </row>
    <row r="855">
      <c r="B855" s="62"/>
    </row>
    <row r="856">
      <c r="B856" s="62"/>
    </row>
    <row r="857">
      <c r="B857" s="62"/>
    </row>
    <row r="858">
      <c r="B858" s="62"/>
    </row>
    <row r="859">
      <c r="B859" s="62"/>
    </row>
    <row r="860">
      <c r="B860" s="62"/>
    </row>
    <row r="861">
      <c r="B861" s="62"/>
    </row>
    <row r="862">
      <c r="B862" s="62"/>
    </row>
    <row r="863">
      <c r="B863" s="62"/>
    </row>
    <row r="864">
      <c r="B864" s="62"/>
    </row>
    <row r="865">
      <c r="B865" s="62"/>
    </row>
    <row r="866">
      <c r="B866" s="62"/>
    </row>
    <row r="867">
      <c r="B867" s="62"/>
    </row>
    <row r="868">
      <c r="B868" s="62"/>
    </row>
    <row r="869">
      <c r="B869" s="62"/>
    </row>
    <row r="870">
      <c r="B870" s="62"/>
    </row>
    <row r="871">
      <c r="B871" s="62"/>
    </row>
    <row r="872">
      <c r="B872" s="62"/>
    </row>
    <row r="873">
      <c r="B873" s="62"/>
    </row>
    <row r="874">
      <c r="B874" s="62"/>
    </row>
    <row r="875">
      <c r="B875" s="62"/>
    </row>
    <row r="876">
      <c r="B876" s="62"/>
    </row>
    <row r="877">
      <c r="B877" s="62"/>
    </row>
    <row r="878">
      <c r="B878" s="62"/>
    </row>
    <row r="879">
      <c r="B879" s="62"/>
    </row>
    <row r="880">
      <c r="B880" s="62"/>
    </row>
    <row r="881">
      <c r="B881" s="62"/>
    </row>
    <row r="882">
      <c r="B882" s="62"/>
    </row>
    <row r="883">
      <c r="B883" s="62"/>
    </row>
    <row r="884">
      <c r="B884" s="62"/>
    </row>
    <row r="885">
      <c r="B885" s="62"/>
    </row>
    <row r="886">
      <c r="B886" s="62"/>
    </row>
    <row r="887">
      <c r="B887" s="62"/>
    </row>
    <row r="888">
      <c r="B888" s="62"/>
    </row>
    <row r="889">
      <c r="B889" s="62"/>
    </row>
    <row r="890">
      <c r="B890" s="62"/>
    </row>
    <row r="891">
      <c r="B891" s="62"/>
    </row>
    <row r="892">
      <c r="B892" s="62"/>
    </row>
    <row r="893">
      <c r="B893" s="62"/>
    </row>
    <row r="894">
      <c r="B894" s="62"/>
    </row>
    <row r="895">
      <c r="B895" s="62"/>
    </row>
    <row r="896">
      <c r="B896" s="62"/>
    </row>
    <row r="897">
      <c r="B897" s="62"/>
    </row>
    <row r="898">
      <c r="B898" s="62"/>
    </row>
    <row r="899">
      <c r="B899" s="62"/>
    </row>
    <row r="900">
      <c r="B900" s="62"/>
    </row>
    <row r="901">
      <c r="B901" s="62"/>
    </row>
    <row r="902">
      <c r="B902" s="62"/>
    </row>
    <row r="903">
      <c r="B903" s="62"/>
    </row>
    <row r="904">
      <c r="B904" s="62"/>
    </row>
    <row r="905">
      <c r="B905" s="62"/>
    </row>
    <row r="906">
      <c r="B906" s="62"/>
    </row>
    <row r="907">
      <c r="B907" s="62"/>
    </row>
    <row r="908">
      <c r="B908" s="62"/>
    </row>
    <row r="909">
      <c r="B909" s="62"/>
    </row>
    <row r="910">
      <c r="B910" s="62"/>
    </row>
    <row r="911">
      <c r="B911" s="62"/>
    </row>
    <row r="912">
      <c r="B912" s="62"/>
    </row>
    <row r="913">
      <c r="B913" s="62"/>
    </row>
    <row r="914">
      <c r="B914" s="62"/>
    </row>
    <row r="915">
      <c r="B915" s="62"/>
    </row>
    <row r="916">
      <c r="B916" s="62"/>
    </row>
    <row r="917">
      <c r="B917" s="62"/>
    </row>
    <row r="918">
      <c r="B918" s="62"/>
    </row>
    <row r="919">
      <c r="B919" s="62"/>
    </row>
    <row r="920">
      <c r="B920" s="62"/>
    </row>
    <row r="921">
      <c r="B921" s="62"/>
    </row>
    <row r="922">
      <c r="B922" s="62"/>
    </row>
    <row r="923">
      <c r="B923" s="62"/>
    </row>
    <row r="924">
      <c r="B924" s="62"/>
    </row>
    <row r="925">
      <c r="B925" s="62"/>
    </row>
    <row r="926">
      <c r="B926" s="62"/>
    </row>
    <row r="927">
      <c r="B927" s="62"/>
    </row>
    <row r="928">
      <c r="B928" s="62"/>
    </row>
    <row r="929">
      <c r="B929" s="62"/>
    </row>
    <row r="930">
      <c r="B930" s="62"/>
    </row>
    <row r="931">
      <c r="B931" s="62"/>
    </row>
    <row r="932">
      <c r="B932" s="62"/>
    </row>
    <row r="933">
      <c r="B933" s="62"/>
    </row>
    <row r="934">
      <c r="B934" s="62"/>
    </row>
    <row r="935">
      <c r="B935" s="62"/>
    </row>
    <row r="936">
      <c r="B936" s="62"/>
    </row>
    <row r="937">
      <c r="B937" s="62"/>
    </row>
    <row r="938">
      <c r="B938" s="62"/>
    </row>
    <row r="939">
      <c r="B939" s="62"/>
    </row>
    <row r="940">
      <c r="B940" s="62"/>
    </row>
    <row r="941">
      <c r="B941" s="62"/>
    </row>
    <row r="942">
      <c r="B942" s="62"/>
    </row>
    <row r="943">
      <c r="B943" s="62"/>
    </row>
    <row r="944">
      <c r="B944" s="62"/>
    </row>
    <row r="945">
      <c r="B945" s="62"/>
    </row>
    <row r="946">
      <c r="B946" s="62"/>
    </row>
    <row r="947">
      <c r="B947" s="62"/>
    </row>
    <row r="948">
      <c r="B948" s="62"/>
    </row>
    <row r="949">
      <c r="B949" s="62"/>
    </row>
    <row r="950">
      <c r="B950" s="62"/>
    </row>
    <row r="951">
      <c r="B951" s="62"/>
    </row>
    <row r="952">
      <c r="B952" s="62"/>
    </row>
    <row r="953">
      <c r="B953" s="62"/>
    </row>
    <row r="954">
      <c r="B954" s="62"/>
    </row>
    <row r="955">
      <c r="B955" s="62"/>
    </row>
    <row r="956">
      <c r="B956" s="62"/>
    </row>
    <row r="957">
      <c r="B957" s="62"/>
    </row>
    <row r="958">
      <c r="B958" s="62"/>
    </row>
    <row r="959">
      <c r="B959" s="62"/>
    </row>
    <row r="960">
      <c r="B960" s="62"/>
    </row>
    <row r="961">
      <c r="B961" s="62"/>
    </row>
    <row r="962">
      <c r="B962" s="62"/>
    </row>
    <row r="963">
      <c r="B963" s="62"/>
    </row>
    <row r="964">
      <c r="B964" s="62"/>
    </row>
    <row r="965">
      <c r="B965" s="62"/>
    </row>
    <row r="966">
      <c r="B966" s="62"/>
    </row>
    <row r="967">
      <c r="B967" s="62"/>
    </row>
    <row r="968">
      <c r="B968" s="62"/>
    </row>
    <row r="969">
      <c r="B969" s="62"/>
    </row>
    <row r="970">
      <c r="B970" s="62"/>
    </row>
    <row r="971">
      <c r="B971" s="62"/>
    </row>
    <row r="972">
      <c r="B972" s="62"/>
    </row>
    <row r="973">
      <c r="B973" s="62"/>
    </row>
    <row r="974">
      <c r="B974" s="62"/>
    </row>
    <row r="975">
      <c r="B975" s="62"/>
    </row>
    <row r="976">
      <c r="B976" s="62"/>
    </row>
    <row r="977">
      <c r="B977" s="62"/>
    </row>
    <row r="978">
      <c r="B978" s="62"/>
    </row>
    <row r="979">
      <c r="B979" s="62"/>
    </row>
    <row r="980">
      <c r="B980" s="62"/>
    </row>
    <row r="981">
      <c r="B981" s="62"/>
    </row>
    <row r="982">
      <c r="B982" s="62"/>
    </row>
    <row r="983">
      <c r="B983" s="62"/>
    </row>
    <row r="984">
      <c r="B984" s="62"/>
    </row>
    <row r="985">
      <c r="B985" s="62"/>
    </row>
    <row r="986">
      <c r="B986" s="62"/>
    </row>
    <row r="987">
      <c r="B987" s="62"/>
    </row>
    <row r="988">
      <c r="B988" s="62"/>
    </row>
    <row r="989">
      <c r="B989" s="62"/>
    </row>
    <row r="990">
      <c r="B990" s="62"/>
    </row>
    <row r="991">
      <c r="B991" s="62"/>
    </row>
    <row r="992">
      <c r="B992" s="62"/>
    </row>
    <row r="993">
      <c r="B993" s="62"/>
    </row>
    <row r="994">
      <c r="B994" s="62"/>
    </row>
    <row r="995">
      <c r="B995" s="62"/>
    </row>
    <row r="996">
      <c r="B996" s="62"/>
    </row>
    <row r="997">
      <c r="B997" s="62"/>
    </row>
    <row r="998">
      <c r="B998" s="62"/>
    </row>
    <row r="999">
      <c r="B999" s="62"/>
    </row>
    <row r="1000">
      <c r="B1000" s="6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8.5"/>
    <col customWidth="1" min="3" max="3" width="25.75"/>
    <col customWidth="1" min="4" max="4" width="85.63"/>
  </cols>
  <sheetData>
    <row r="1">
      <c r="A1" s="63" t="s">
        <v>584</v>
      </c>
      <c r="B1" s="63" t="s">
        <v>585</v>
      </c>
      <c r="C1" s="63" t="s">
        <v>586</v>
      </c>
      <c r="D1" s="63" t="s">
        <v>8</v>
      </c>
      <c r="E1" s="63" t="s">
        <v>587</v>
      </c>
    </row>
    <row r="2">
      <c r="A2" s="9"/>
      <c r="B2" s="64" t="s">
        <v>588</v>
      </c>
      <c r="C2" s="64" t="s">
        <v>589</v>
      </c>
      <c r="D2" s="65"/>
      <c r="E2" s="65"/>
    </row>
    <row r="3">
      <c r="A3" s="9"/>
      <c r="B3" s="64" t="s">
        <v>590</v>
      </c>
      <c r="C3" s="64" t="s">
        <v>591</v>
      </c>
      <c r="D3" s="65"/>
      <c r="E3" s="65"/>
    </row>
    <row r="4">
      <c r="A4" s="9"/>
      <c r="B4" s="64" t="s">
        <v>592</v>
      </c>
      <c r="C4" s="64" t="s">
        <v>591</v>
      </c>
      <c r="D4" s="65"/>
      <c r="E4" s="65"/>
    </row>
    <row r="5">
      <c r="A5" s="9"/>
      <c r="B5" s="64" t="s">
        <v>593</v>
      </c>
      <c r="C5" s="65"/>
      <c r="D5" s="65"/>
      <c r="E5" s="65"/>
    </row>
    <row r="6">
      <c r="A6" s="9"/>
      <c r="B6" s="64" t="s">
        <v>594</v>
      </c>
      <c r="C6" s="65"/>
      <c r="D6" s="64"/>
      <c r="E6" s="64"/>
    </row>
    <row r="7">
      <c r="A7" s="9"/>
      <c r="B7" s="64" t="s">
        <v>595</v>
      </c>
      <c r="C7" s="64" t="s">
        <v>596</v>
      </c>
      <c r="D7" s="64"/>
      <c r="E7" s="64"/>
    </row>
    <row r="11">
      <c r="A11" s="40"/>
      <c r="B11" s="66" t="s">
        <v>597</v>
      </c>
      <c r="C11" s="65"/>
      <c r="D11" s="65"/>
      <c r="E11" s="65"/>
    </row>
    <row r="12">
      <c r="B12" s="65"/>
      <c r="C12" s="65"/>
      <c r="D12" s="65"/>
      <c r="E12" s="65"/>
    </row>
    <row r="13" ht="31.5" customHeight="1">
      <c r="A13" s="67" t="s">
        <v>598</v>
      </c>
      <c r="B13" s="68" t="s">
        <v>599</v>
      </c>
      <c r="C13" s="68" t="s">
        <v>600</v>
      </c>
      <c r="D13" s="69" t="s">
        <v>601</v>
      </c>
      <c r="E13" s="64" t="s">
        <v>602</v>
      </c>
    </row>
    <row r="14">
      <c r="A14" s="70"/>
      <c r="B14" s="30"/>
      <c r="C14" s="30"/>
      <c r="D14" s="69" t="s">
        <v>603</v>
      </c>
      <c r="E14" s="68" t="s">
        <v>604</v>
      </c>
    </row>
    <row r="15">
      <c r="A15" s="70"/>
      <c r="B15" s="30"/>
      <c r="C15" s="30"/>
      <c r="D15" s="69" t="s">
        <v>605</v>
      </c>
      <c r="E15" s="30"/>
    </row>
    <row r="16">
      <c r="A16" s="70"/>
      <c r="B16" s="30"/>
      <c r="C16" s="30"/>
      <c r="D16" s="69" t="s">
        <v>606</v>
      </c>
      <c r="E16" s="36"/>
    </row>
    <row r="17">
      <c r="A17" s="70"/>
      <c r="B17" s="30"/>
      <c r="C17" s="30"/>
      <c r="D17" s="69" t="s">
        <v>607</v>
      </c>
      <c r="E17" s="64" t="s">
        <v>602</v>
      </c>
    </row>
    <row r="18">
      <c r="A18" s="70"/>
      <c r="B18" s="30"/>
      <c r="C18" s="30"/>
      <c r="D18" s="69" t="s">
        <v>608</v>
      </c>
      <c r="E18" s="71" t="s">
        <v>609</v>
      </c>
    </row>
    <row r="19">
      <c r="A19" s="70"/>
      <c r="B19" s="30"/>
      <c r="C19" s="30"/>
      <c r="D19" s="69" t="s">
        <v>610</v>
      </c>
      <c r="E19" s="36"/>
    </row>
    <row r="20">
      <c r="A20" s="70"/>
      <c r="B20" s="30"/>
      <c r="C20" s="30"/>
      <c r="D20" s="69" t="s">
        <v>611</v>
      </c>
      <c r="E20" s="71" t="s">
        <v>609</v>
      </c>
    </row>
    <row r="21">
      <c r="A21" s="70"/>
      <c r="B21" s="30"/>
      <c r="C21" s="30"/>
      <c r="D21" s="69" t="s">
        <v>612</v>
      </c>
      <c r="E21" s="36"/>
    </row>
    <row r="22">
      <c r="A22" s="70"/>
      <c r="B22" s="30"/>
      <c r="C22" s="30"/>
      <c r="D22" s="69" t="s">
        <v>613</v>
      </c>
      <c r="E22" s="71" t="s">
        <v>614</v>
      </c>
    </row>
    <row r="23">
      <c r="A23" s="70"/>
      <c r="B23" s="30"/>
      <c r="C23" s="30"/>
      <c r="D23" s="69" t="s">
        <v>615</v>
      </c>
      <c r="E23" s="30"/>
    </row>
    <row r="24">
      <c r="A24" s="70"/>
      <c r="B24" s="30"/>
      <c r="C24" s="30"/>
      <c r="D24" s="69" t="s">
        <v>616</v>
      </c>
      <c r="E24" s="30"/>
    </row>
    <row r="25">
      <c r="A25" s="70"/>
      <c r="B25" s="30"/>
      <c r="C25" s="30"/>
      <c r="D25" s="69" t="s">
        <v>617</v>
      </c>
      <c r="E25" s="30"/>
    </row>
    <row r="26">
      <c r="A26" s="70"/>
      <c r="B26" s="30"/>
      <c r="C26" s="30"/>
      <c r="D26" s="69" t="s">
        <v>618</v>
      </c>
      <c r="E26" s="30"/>
    </row>
    <row r="27">
      <c r="A27" s="70"/>
      <c r="B27" s="30"/>
      <c r="C27" s="30"/>
      <c r="D27" s="69" t="s">
        <v>619</v>
      </c>
      <c r="E27" s="30"/>
    </row>
    <row r="28">
      <c r="A28" s="70"/>
      <c r="B28" s="30"/>
      <c r="C28" s="30"/>
      <c r="D28" s="69" t="s">
        <v>620</v>
      </c>
      <c r="E28" s="36"/>
    </row>
    <row r="29">
      <c r="A29" s="70"/>
      <c r="B29" s="30"/>
      <c r="C29" s="30"/>
      <c r="D29" s="69" t="s">
        <v>621</v>
      </c>
      <c r="E29" s="64" t="s">
        <v>622</v>
      </c>
    </row>
    <row r="30">
      <c r="A30" s="70"/>
      <c r="B30" s="36"/>
      <c r="C30" s="36"/>
      <c r="D30" s="69" t="s">
        <v>623</v>
      </c>
      <c r="E30" s="64" t="s">
        <v>614</v>
      </c>
    </row>
    <row r="31">
      <c r="A31" s="70"/>
      <c r="B31" s="72" t="s">
        <v>624</v>
      </c>
      <c r="C31" s="72" t="s">
        <v>625</v>
      </c>
      <c r="D31" s="73"/>
      <c r="E31" s="74"/>
    </row>
    <row r="32">
      <c r="A32" s="70"/>
      <c r="B32" s="30"/>
      <c r="C32" s="30"/>
      <c r="D32" s="75" t="s">
        <v>626</v>
      </c>
      <c r="E32" s="76" t="s">
        <v>627</v>
      </c>
    </row>
    <row r="33">
      <c r="A33" s="70"/>
      <c r="B33" s="30"/>
      <c r="C33" s="30"/>
      <c r="D33" s="75" t="s">
        <v>628</v>
      </c>
      <c r="E33" s="30"/>
    </row>
    <row r="34">
      <c r="A34" s="70"/>
      <c r="B34" s="30"/>
      <c r="C34" s="30"/>
      <c r="D34" s="75" t="s">
        <v>629</v>
      </c>
      <c r="E34" s="30"/>
    </row>
    <row r="35">
      <c r="A35" s="70"/>
      <c r="B35" s="30"/>
      <c r="C35" s="30"/>
      <c r="D35" s="77" t="s">
        <v>630</v>
      </c>
      <c r="E35" s="30"/>
    </row>
    <row r="36">
      <c r="A36" s="70"/>
      <c r="B36" s="30"/>
      <c r="C36" s="30"/>
      <c r="D36" s="77" t="s">
        <v>631</v>
      </c>
      <c r="E36" s="30"/>
    </row>
    <row r="37">
      <c r="A37" s="70"/>
      <c r="B37" s="30"/>
      <c r="C37" s="30"/>
      <c r="D37" s="77" t="s">
        <v>632</v>
      </c>
      <c r="E37" s="30"/>
    </row>
    <row r="38">
      <c r="A38" s="70"/>
      <c r="B38" s="36"/>
      <c r="C38" s="36"/>
      <c r="D38" s="77" t="s">
        <v>633</v>
      </c>
      <c r="E38" s="36"/>
    </row>
    <row r="39">
      <c r="A39" s="70"/>
      <c r="B39" s="78"/>
      <c r="C39" s="78"/>
      <c r="D39" s="79"/>
    </row>
    <row r="40">
      <c r="A40" s="70"/>
      <c r="B40" s="68" t="s">
        <v>634</v>
      </c>
      <c r="C40" s="68" t="s">
        <v>635</v>
      </c>
      <c r="D40" s="69" t="s">
        <v>636</v>
      </c>
      <c r="E40" s="64" t="s">
        <v>602</v>
      </c>
    </row>
    <row r="41">
      <c r="A41" s="70"/>
      <c r="B41" s="30"/>
      <c r="C41" s="30"/>
      <c r="D41" s="69" t="s">
        <v>637</v>
      </c>
      <c r="E41" s="64" t="s">
        <v>602</v>
      </c>
    </row>
    <row r="42">
      <c r="A42" s="70"/>
      <c r="B42" s="30"/>
      <c r="C42" s="30"/>
      <c r="D42" s="69" t="s">
        <v>638</v>
      </c>
      <c r="E42" s="64" t="s">
        <v>602</v>
      </c>
    </row>
    <row r="43">
      <c r="A43" s="70"/>
      <c r="B43" s="30"/>
      <c r="C43" s="30"/>
      <c r="D43" s="69" t="s">
        <v>639</v>
      </c>
      <c r="E43" s="64" t="s">
        <v>602</v>
      </c>
    </row>
    <row r="44">
      <c r="A44" s="70"/>
      <c r="B44" s="30"/>
      <c r="C44" s="30"/>
      <c r="D44" s="69" t="s">
        <v>640</v>
      </c>
      <c r="E44" s="64" t="s">
        <v>622</v>
      </c>
    </row>
    <row r="45">
      <c r="A45" s="70"/>
      <c r="B45" s="30"/>
      <c r="C45" s="30"/>
      <c r="D45" s="69" t="s">
        <v>641</v>
      </c>
      <c r="E45" s="64" t="s">
        <v>622</v>
      </c>
    </row>
    <row r="46">
      <c r="A46" s="70"/>
      <c r="B46" s="30"/>
      <c r="C46" s="30"/>
      <c r="D46" s="69" t="s">
        <v>642</v>
      </c>
      <c r="E46" s="64" t="s">
        <v>622</v>
      </c>
    </row>
    <row r="47">
      <c r="A47" s="70"/>
      <c r="B47" s="30"/>
      <c r="C47" s="30"/>
      <c r="D47" s="69" t="s">
        <v>643</v>
      </c>
      <c r="E47" s="64" t="s">
        <v>622</v>
      </c>
    </row>
    <row r="48">
      <c r="A48" s="70"/>
      <c r="B48" s="30"/>
      <c r="C48" s="30"/>
      <c r="D48" s="69" t="s">
        <v>644</v>
      </c>
      <c r="E48" s="64" t="s">
        <v>645</v>
      </c>
    </row>
    <row r="49">
      <c r="A49" s="70"/>
      <c r="B49" s="30"/>
      <c r="C49" s="30"/>
      <c r="D49" s="69" t="s">
        <v>646</v>
      </c>
      <c r="E49" s="64" t="s">
        <v>647</v>
      </c>
    </row>
    <row r="50">
      <c r="A50" s="70"/>
      <c r="B50" s="30"/>
      <c r="C50" s="30"/>
      <c r="D50" s="69" t="s">
        <v>648</v>
      </c>
      <c r="E50" s="64" t="s">
        <v>609</v>
      </c>
    </row>
    <row r="51">
      <c r="A51" s="70"/>
      <c r="B51" s="36"/>
      <c r="C51" s="36"/>
      <c r="D51" s="69" t="s">
        <v>649</v>
      </c>
      <c r="E51" s="64" t="s">
        <v>622</v>
      </c>
    </row>
    <row r="52">
      <c r="A52" s="70"/>
      <c r="B52" s="78"/>
      <c r="C52" s="78"/>
      <c r="D52" s="79"/>
    </row>
    <row r="53">
      <c r="A53" s="70"/>
      <c r="B53" s="68" t="s">
        <v>650</v>
      </c>
      <c r="C53" s="68" t="s">
        <v>651</v>
      </c>
      <c r="D53" s="69" t="s">
        <v>652</v>
      </c>
      <c r="E53" s="64" t="s">
        <v>647</v>
      </c>
    </row>
    <row r="54">
      <c r="A54" s="70"/>
      <c r="B54" s="30"/>
      <c r="C54" s="30"/>
      <c r="D54" s="69" t="s">
        <v>653</v>
      </c>
      <c r="E54" s="64" t="s">
        <v>647</v>
      </c>
    </row>
    <row r="55">
      <c r="A55" s="70"/>
      <c r="B55" s="30"/>
      <c r="C55" s="30"/>
      <c r="D55" s="69" t="s">
        <v>654</v>
      </c>
      <c r="E55" s="64" t="s">
        <v>655</v>
      </c>
    </row>
    <row r="56">
      <c r="A56" s="70"/>
      <c r="B56" s="30"/>
      <c r="C56" s="30"/>
      <c r="D56" s="69" t="s">
        <v>656</v>
      </c>
      <c r="E56" s="64" t="s">
        <v>647</v>
      </c>
    </row>
    <row r="57">
      <c r="A57" s="70"/>
      <c r="B57" s="30"/>
      <c r="C57" s="30"/>
      <c r="D57" s="69" t="s">
        <v>657</v>
      </c>
      <c r="E57" s="64" t="s">
        <v>647</v>
      </c>
    </row>
    <row r="58">
      <c r="A58" s="70"/>
      <c r="B58" s="30"/>
      <c r="C58" s="30"/>
      <c r="D58" s="69" t="s">
        <v>658</v>
      </c>
      <c r="E58" s="64" t="s">
        <v>655</v>
      </c>
    </row>
    <row r="59">
      <c r="A59" s="70"/>
      <c r="B59" s="30"/>
      <c r="C59" s="30"/>
      <c r="D59" s="69" t="s">
        <v>659</v>
      </c>
      <c r="E59" s="64" t="s">
        <v>655</v>
      </c>
    </row>
    <row r="60">
      <c r="A60" s="70"/>
      <c r="B60" s="30"/>
      <c r="C60" s="30"/>
      <c r="D60" s="69" t="s">
        <v>660</v>
      </c>
      <c r="E60" s="64" t="s">
        <v>655</v>
      </c>
    </row>
    <row r="61">
      <c r="A61" s="70"/>
      <c r="B61" s="30"/>
      <c r="C61" s="30"/>
      <c r="D61" s="69" t="s">
        <v>661</v>
      </c>
      <c r="E61" s="64" t="s">
        <v>647</v>
      </c>
    </row>
    <row r="62">
      <c r="A62" s="70"/>
      <c r="B62" s="30"/>
      <c r="C62" s="30"/>
      <c r="D62" s="69" t="s">
        <v>662</v>
      </c>
      <c r="E62" s="64" t="s">
        <v>647</v>
      </c>
    </row>
    <row r="63">
      <c r="A63" s="70"/>
      <c r="B63" s="30"/>
      <c r="C63" s="30"/>
      <c r="D63" s="69" t="s">
        <v>663</v>
      </c>
      <c r="E63" s="64" t="s">
        <v>647</v>
      </c>
    </row>
    <row r="64">
      <c r="A64" s="70"/>
      <c r="B64" s="30"/>
      <c r="C64" s="30"/>
      <c r="D64" s="69" t="s">
        <v>664</v>
      </c>
      <c r="E64" s="64" t="s">
        <v>647</v>
      </c>
    </row>
    <row r="65">
      <c r="A65" s="70"/>
      <c r="B65" s="30"/>
      <c r="C65" s="30"/>
      <c r="D65" s="69" t="s">
        <v>665</v>
      </c>
      <c r="E65" s="64" t="s">
        <v>645</v>
      </c>
    </row>
    <row r="66">
      <c r="A66" s="70"/>
      <c r="B66" s="30"/>
      <c r="C66" s="30"/>
      <c r="D66" s="69" t="s">
        <v>666</v>
      </c>
      <c r="E66" s="64" t="s">
        <v>602</v>
      </c>
    </row>
    <row r="67">
      <c r="A67" s="80"/>
      <c r="B67" s="36"/>
      <c r="C67" s="36"/>
      <c r="D67" s="69" t="s">
        <v>667</v>
      </c>
      <c r="E67" s="64" t="s">
        <v>668</v>
      </c>
    </row>
    <row r="68">
      <c r="A68" s="78"/>
      <c r="B68" s="78"/>
      <c r="C68" s="78"/>
      <c r="D68" s="79"/>
    </row>
    <row r="69">
      <c r="A69" s="81" t="s">
        <v>669</v>
      </c>
      <c r="B69" s="68" t="s">
        <v>670</v>
      </c>
      <c r="C69" s="68" t="s">
        <v>651</v>
      </c>
      <c r="D69" s="69" t="s">
        <v>671</v>
      </c>
      <c r="E69" s="64" t="s">
        <v>602</v>
      </c>
    </row>
    <row r="70">
      <c r="B70" s="30"/>
      <c r="C70" s="30"/>
      <c r="D70" s="69" t="s">
        <v>672</v>
      </c>
      <c r="E70" s="64" t="s">
        <v>602</v>
      </c>
    </row>
    <row r="71">
      <c r="B71" s="30"/>
      <c r="C71" s="30"/>
      <c r="D71" s="69" t="s">
        <v>673</v>
      </c>
      <c r="E71" s="64" t="s">
        <v>647</v>
      </c>
    </row>
    <row r="72">
      <c r="B72" s="30"/>
      <c r="C72" s="30"/>
      <c r="D72" s="69" t="s">
        <v>674</v>
      </c>
      <c r="E72" s="64" t="s">
        <v>647</v>
      </c>
    </row>
    <row r="73">
      <c r="B73" s="30"/>
      <c r="C73" s="30"/>
      <c r="D73" s="69" t="s">
        <v>675</v>
      </c>
      <c r="E73" s="64" t="s">
        <v>645</v>
      </c>
    </row>
    <row r="74">
      <c r="B74" s="30"/>
      <c r="C74" s="30"/>
      <c r="D74" s="69" t="s">
        <v>676</v>
      </c>
      <c r="E74" s="64" t="s">
        <v>647</v>
      </c>
    </row>
    <row r="75">
      <c r="B75" s="30"/>
      <c r="C75" s="30"/>
      <c r="D75" s="69" t="s">
        <v>677</v>
      </c>
      <c r="E75" s="64" t="s">
        <v>647</v>
      </c>
    </row>
    <row r="76">
      <c r="B76" s="30"/>
      <c r="C76" s="30"/>
      <c r="D76" s="69" t="s">
        <v>678</v>
      </c>
      <c r="E76" s="64" t="s">
        <v>655</v>
      </c>
    </row>
    <row r="77">
      <c r="B77" s="30"/>
      <c r="C77" s="30"/>
      <c r="D77" s="69" t="s">
        <v>679</v>
      </c>
      <c r="E77" s="64" t="s">
        <v>647</v>
      </c>
    </row>
    <row r="78">
      <c r="B78" s="30"/>
      <c r="C78" s="30"/>
      <c r="D78" s="69" t="s">
        <v>680</v>
      </c>
      <c r="E78" s="64" t="s">
        <v>602</v>
      </c>
    </row>
    <row r="79">
      <c r="B79" s="30"/>
      <c r="C79" s="30"/>
      <c r="D79" s="69" t="s">
        <v>681</v>
      </c>
      <c r="E79" s="64" t="s">
        <v>647</v>
      </c>
    </row>
    <row r="80">
      <c r="B80" s="30"/>
      <c r="C80" s="30"/>
      <c r="D80" s="69" t="s">
        <v>682</v>
      </c>
      <c r="E80" s="64" t="s">
        <v>602</v>
      </c>
    </row>
    <row r="81">
      <c r="B81" s="30"/>
      <c r="C81" s="30"/>
      <c r="D81" s="69" t="s">
        <v>683</v>
      </c>
      <c r="E81" s="64" t="s">
        <v>602</v>
      </c>
    </row>
    <row r="82">
      <c r="B82" s="30"/>
      <c r="C82" s="30"/>
      <c r="D82" s="69" t="s">
        <v>684</v>
      </c>
      <c r="E82" s="64" t="s">
        <v>647</v>
      </c>
    </row>
    <row r="83">
      <c r="B83" s="30"/>
      <c r="C83" s="30"/>
      <c r="D83" s="69" t="s">
        <v>685</v>
      </c>
      <c r="E83" s="64" t="s">
        <v>602</v>
      </c>
    </row>
    <row r="84">
      <c r="B84" s="36"/>
      <c r="C84" s="36"/>
      <c r="D84" s="69" t="s">
        <v>686</v>
      </c>
      <c r="E84" s="64" t="s">
        <v>647</v>
      </c>
    </row>
    <row r="85">
      <c r="A85" s="78"/>
      <c r="B85" s="78"/>
      <c r="C85" s="78"/>
      <c r="D85" s="79"/>
    </row>
    <row r="86">
      <c r="A86" s="82" t="s">
        <v>687</v>
      </c>
      <c r="B86" s="68" t="s">
        <v>688</v>
      </c>
      <c r="C86" s="68" t="s">
        <v>689</v>
      </c>
      <c r="D86" s="69" t="s">
        <v>690</v>
      </c>
      <c r="E86" s="64" t="s">
        <v>647</v>
      </c>
    </row>
    <row r="87">
      <c r="B87" s="30"/>
      <c r="C87" s="30"/>
      <c r="D87" s="69" t="s">
        <v>691</v>
      </c>
      <c r="E87" s="64" t="s">
        <v>655</v>
      </c>
    </row>
    <row r="88">
      <c r="B88" s="30"/>
      <c r="C88" s="30"/>
      <c r="D88" s="69" t="s">
        <v>692</v>
      </c>
      <c r="E88" s="64" t="s">
        <v>602</v>
      </c>
    </row>
    <row r="89">
      <c r="B89" s="30"/>
      <c r="C89" s="30"/>
      <c r="D89" s="69" t="s">
        <v>693</v>
      </c>
      <c r="E89" s="64" t="s">
        <v>647</v>
      </c>
    </row>
    <row r="90">
      <c r="B90" s="30"/>
      <c r="C90" s="30"/>
      <c r="D90" s="69" t="s">
        <v>694</v>
      </c>
      <c r="E90" s="64" t="s">
        <v>647</v>
      </c>
    </row>
    <row r="91">
      <c r="B91" s="30"/>
      <c r="C91" s="30"/>
      <c r="D91" s="69" t="s">
        <v>695</v>
      </c>
      <c r="E91" s="64" t="s">
        <v>602</v>
      </c>
    </row>
    <row r="92">
      <c r="B92" s="30"/>
      <c r="C92" s="30"/>
      <c r="D92" s="69" t="s">
        <v>696</v>
      </c>
      <c r="E92" s="64" t="s">
        <v>602</v>
      </c>
    </row>
    <row r="93">
      <c r="B93" s="30"/>
      <c r="C93" s="30"/>
      <c r="D93" s="69" t="s">
        <v>697</v>
      </c>
      <c r="E93" s="64" t="s">
        <v>602</v>
      </c>
    </row>
    <row r="94">
      <c r="B94" s="30"/>
      <c r="C94" s="30"/>
      <c r="D94" s="69" t="s">
        <v>698</v>
      </c>
      <c r="E94" s="64" t="s">
        <v>609</v>
      </c>
    </row>
    <row r="95">
      <c r="B95" s="30"/>
      <c r="C95" s="30"/>
      <c r="D95" s="69" t="s">
        <v>699</v>
      </c>
      <c r="E95" s="64" t="s">
        <v>609</v>
      </c>
    </row>
    <row r="96">
      <c r="B96" s="30"/>
      <c r="C96" s="30"/>
      <c r="D96" s="69" t="s">
        <v>700</v>
      </c>
      <c r="E96" s="64" t="s">
        <v>609</v>
      </c>
    </row>
    <row r="97">
      <c r="B97" s="36"/>
      <c r="C97" s="36"/>
      <c r="D97" s="69" t="s">
        <v>701</v>
      </c>
      <c r="E97" s="64" t="s">
        <v>602</v>
      </c>
    </row>
    <row r="98">
      <c r="A98" s="78"/>
      <c r="B98" s="78"/>
      <c r="C98" s="78"/>
      <c r="D98" s="79"/>
    </row>
    <row r="99">
      <c r="A99" s="83" t="s">
        <v>702</v>
      </c>
      <c r="B99" s="68" t="s">
        <v>703</v>
      </c>
      <c r="C99" s="68" t="s">
        <v>651</v>
      </c>
      <c r="D99" s="69" t="s">
        <v>704</v>
      </c>
      <c r="E99" s="64" t="s">
        <v>655</v>
      </c>
    </row>
    <row r="100">
      <c r="A100" s="70"/>
      <c r="B100" s="30"/>
      <c r="C100" s="30"/>
      <c r="D100" s="69" t="s">
        <v>705</v>
      </c>
      <c r="E100" s="64" t="s">
        <v>647</v>
      </c>
    </row>
    <row r="101">
      <c r="A101" s="70"/>
      <c r="B101" s="30"/>
      <c r="C101" s="30"/>
      <c r="D101" s="69" t="s">
        <v>706</v>
      </c>
      <c r="E101" s="64" t="s">
        <v>647</v>
      </c>
    </row>
    <row r="102">
      <c r="A102" s="70"/>
      <c r="B102" s="30"/>
      <c r="C102" s="30"/>
      <c r="D102" s="69" t="s">
        <v>707</v>
      </c>
      <c r="E102" s="64" t="s">
        <v>647</v>
      </c>
    </row>
    <row r="103">
      <c r="A103" s="70"/>
      <c r="B103" s="30"/>
      <c r="C103" s="30"/>
      <c r="D103" s="69" t="s">
        <v>708</v>
      </c>
      <c r="E103" s="64" t="s">
        <v>645</v>
      </c>
    </row>
    <row r="104">
      <c r="A104" s="70"/>
      <c r="B104" s="30"/>
      <c r="C104" s="30"/>
      <c r="D104" s="69" t="s">
        <v>709</v>
      </c>
      <c r="E104" s="64" t="s">
        <v>602</v>
      </c>
    </row>
    <row r="105">
      <c r="A105" s="70"/>
      <c r="B105" s="30"/>
      <c r="C105" s="30"/>
      <c r="D105" s="69" t="s">
        <v>710</v>
      </c>
      <c r="E105" s="64" t="s">
        <v>602</v>
      </c>
    </row>
    <row r="106">
      <c r="A106" s="70"/>
      <c r="B106" s="30"/>
      <c r="C106" s="30"/>
      <c r="D106" s="69" t="s">
        <v>711</v>
      </c>
      <c r="E106" s="64" t="s">
        <v>647</v>
      </c>
    </row>
    <row r="107">
      <c r="A107" s="70"/>
      <c r="B107" s="30"/>
      <c r="C107" s="30"/>
      <c r="D107" s="69" t="s">
        <v>712</v>
      </c>
      <c r="E107" s="64" t="s">
        <v>602</v>
      </c>
    </row>
    <row r="108">
      <c r="A108" s="70"/>
      <c r="B108" s="30"/>
      <c r="C108" s="30"/>
      <c r="D108" s="69" t="s">
        <v>713</v>
      </c>
      <c r="E108" s="64" t="s">
        <v>609</v>
      </c>
    </row>
    <row r="109">
      <c r="A109" s="70"/>
      <c r="B109" s="30"/>
      <c r="C109" s="30"/>
      <c r="D109" s="69" t="s">
        <v>714</v>
      </c>
      <c r="E109" s="64" t="s">
        <v>609</v>
      </c>
    </row>
    <row r="110">
      <c r="A110" s="70"/>
      <c r="B110" s="30"/>
      <c r="C110" s="30"/>
      <c r="D110" s="69" t="s">
        <v>715</v>
      </c>
      <c r="E110" s="64" t="s">
        <v>609</v>
      </c>
    </row>
    <row r="111">
      <c r="A111" s="80"/>
      <c r="B111" s="36"/>
      <c r="C111" s="36"/>
      <c r="D111" s="69" t="s">
        <v>716</v>
      </c>
      <c r="E111" s="64" t="s">
        <v>602</v>
      </c>
    </row>
    <row r="116">
      <c r="A116" s="84"/>
    </row>
    <row r="118">
      <c r="A118" s="9" t="s">
        <v>687</v>
      </c>
      <c r="B118" s="22" t="s">
        <v>717</v>
      </c>
      <c r="C118" s="9" t="s">
        <v>718</v>
      </c>
      <c r="D118" s="9" t="s">
        <v>719</v>
      </c>
      <c r="E118" s="9" t="s">
        <v>609</v>
      </c>
    </row>
    <row r="119">
      <c r="D119" s="9" t="s">
        <v>720</v>
      </c>
      <c r="E119" s="9" t="s">
        <v>602</v>
      </c>
    </row>
    <row r="120">
      <c r="D120" s="9" t="s">
        <v>721</v>
      </c>
      <c r="E120" s="9" t="s">
        <v>609</v>
      </c>
    </row>
    <row r="121">
      <c r="D121" s="9" t="s">
        <v>722</v>
      </c>
      <c r="E121" s="9" t="s">
        <v>602</v>
      </c>
    </row>
    <row r="122">
      <c r="B122" s="9" t="s">
        <v>723</v>
      </c>
      <c r="C122" s="9" t="s">
        <v>718</v>
      </c>
      <c r="D122" s="9" t="s">
        <v>724</v>
      </c>
      <c r="E122" s="9" t="s">
        <v>602</v>
      </c>
    </row>
    <row r="123">
      <c r="D123" s="9" t="s">
        <v>725</v>
      </c>
      <c r="E123" s="9" t="s">
        <v>609</v>
      </c>
    </row>
    <row r="124">
      <c r="D124" s="9" t="s">
        <v>726</v>
      </c>
      <c r="E124" s="9" t="s">
        <v>602</v>
      </c>
    </row>
    <row r="125">
      <c r="D125" s="9" t="s">
        <v>727</v>
      </c>
      <c r="E125" s="9" t="s">
        <v>602</v>
      </c>
    </row>
    <row r="126">
      <c r="D126" s="9" t="s">
        <v>728</v>
      </c>
      <c r="E126" s="9" t="s">
        <v>647</v>
      </c>
    </row>
    <row r="127">
      <c r="D127" s="9" t="s">
        <v>729</v>
      </c>
      <c r="E127" s="9" t="s">
        <v>602</v>
      </c>
    </row>
    <row r="128">
      <c r="D128" s="9" t="s">
        <v>730</v>
      </c>
      <c r="E128" s="9" t="s">
        <v>602</v>
      </c>
    </row>
    <row r="129">
      <c r="D129" s="9" t="s">
        <v>731</v>
      </c>
      <c r="E129" s="9" t="s">
        <v>602</v>
      </c>
    </row>
    <row r="130">
      <c r="D130" s="9" t="s">
        <v>732</v>
      </c>
      <c r="E130" s="9" t="s">
        <v>609</v>
      </c>
    </row>
    <row r="132">
      <c r="A132" s="83" t="s">
        <v>733</v>
      </c>
      <c r="B132" s="33" t="s">
        <v>734</v>
      </c>
      <c r="C132" s="33" t="s">
        <v>735</v>
      </c>
      <c r="D132" s="9" t="s">
        <v>736</v>
      </c>
      <c r="E132" s="9" t="s">
        <v>614</v>
      </c>
    </row>
    <row r="133">
      <c r="A133" s="70"/>
      <c r="D133" s="9" t="s">
        <v>737</v>
      </c>
      <c r="E133" s="9" t="s">
        <v>622</v>
      </c>
    </row>
    <row r="134">
      <c r="A134" s="70"/>
      <c r="D134" s="9" t="s">
        <v>738</v>
      </c>
      <c r="E134" s="9" t="s">
        <v>622</v>
      </c>
    </row>
    <row r="135">
      <c r="A135" s="80"/>
      <c r="D135" s="9" t="s">
        <v>739</v>
      </c>
      <c r="E135" s="9" t="s">
        <v>614</v>
      </c>
    </row>
    <row r="136">
      <c r="A136" s="33" t="s">
        <v>733</v>
      </c>
      <c r="B136" s="33" t="s">
        <v>740</v>
      </c>
      <c r="C136" s="33" t="s">
        <v>651</v>
      </c>
      <c r="D136" s="9" t="s">
        <v>741</v>
      </c>
      <c r="E136" s="9" t="s">
        <v>622</v>
      </c>
    </row>
    <row r="137">
      <c r="D137" s="9" t="s">
        <v>742</v>
      </c>
      <c r="E137" s="9" t="s">
        <v>614</v>
      </c>
    </row>
    <row r="138">
      <c r="D138" s="9" t="s">
        <v>743</v>
      </c>
      <c r="E138" s="9" t="s">
        <v>622</v>
      </c>
    </row>
    <row r="139">
      <c r="A139" s="33" t="s">
        <v>733</v>
      </c>
      <c r="B139" s="33" t="s">
        <v>744</v>
      </c>
      <c r="C139" s="33" t="s">
        <v>745</v>
      </c>
      <c r="D139" s="9" t="s">
        <v>746</v>
      </c>
      <c r="E139" s="9" t="s">
        <v>622</v>
      </c>
    </row>
    <row r="140">
      <c r="D140" s="9" t="s">
        <v>747</v>
      </c>
      <c r="E140" s="9" t="s">
        <v>622</v>
      </c>
    </row>
    <row r="141">
      <c r="D141" s="9" t="s">
        <v>748</v>
      </c>
      <c r="E141" s="9" t="s">
        <v>614</v>
      </c>
    </row>
    <row r="142">
      <c r="A142" s="33" t="s">
        <v>733</v>
      </c>
      <c r="B142" s="33" t="s">
        <v>749</v>
      </c>
      <c r="C142" s="33" t="s">
        <v>651</v>
      </c>
      <c r="D142" s="9" t="s">
        <v>750</v>
      </c>
      <c r="E142" s="9" t="s">
        <v>622</v>
      </c>
    </row>
    <row r="143">
      <c r="D143" s="9" t="s">
        <v>751</v>
      </c>
      <c r="E143" s="9" t="s">
        <v>622</v>
      </c>
    </row>
    <row r="144">
      <c r="D144" s="9" t="s">
        <v>752</v>
      </c>
      <c r="E144" s="9" t="s">
        <v>622</v>
      </c>
    </row>
    <row r="145">
      <c r="D145" s="9" t="s">
        <v>753</v>
      </c>
      <c r="E145" s="9" t="s">
        <v>622</v>
      </c>
    </row>
    <row r="146">
      <c r="D146" s="9" t="s">
        <v>754</v>
      </c>
      <c r="E146" s="9" t="s">
        <v>668</v>
      </c>
    </row>
    <row r="147">
      <c r="D147" s="9" t="s">
        <v>755</v>
      </c>
      <c r="E147" s="9" t="s">
        <v>622</v>
      </c>
    </row>
    <row r="151">
      <c r="A151" s="85"/>
    </row>
    <row r="155">
      <c r="A155" s="83" t="s">
        <v>756</v>
      </c>
      <c r="B155" s="33" t="s">
        <v>757</v>
      </c>
      <c r="C155" s="33" t="s">
        <v>758</v>
      </c>
      <c r="D155" s="9" t="s">
        <v>759</v>
      </c>
      <c r="E155" s="9" t="s">
        <v>609</v>
      </c>
    </row>
    <row r="156">
      <c r="A156" s="70"/>
      <c r="D156" s="9" t="s">
        <v>760</v>
      </c>
      <c r="E156" s="9" t="s">
        <v>609</v>
      </c>
    </row>
    <row r="157">
      <c r="A157" s="70"/>
      <c r="D157" s="9" t="s">
        <v>761</v>
      </c>
      <c r="E157" s="9" t="s">
        <v>609</v>
      </c>
    </row>
    <row r="158">
      <c r="A158" s="70"/>
      <c r="D158" s="9" t="s">
        <v>762</v>
      </c>
      <c r="E158" s="9" t="s">
        <v>609</v>
      </c>
    </row>
    <row r="159">
      <c r="A159" s="70"/>
      <c r="D159" s="9" t="s">
        <v>763</v>
      </c>
      <c r="E159" s="9" t="s">
        <v>602</v>
      </c>
    </row>
    <row r="160">
      <c r="A160" s="80"/>
      <c r="D160" s="9" t="s">
        <v>764</v>
      </c>
      <c r="E160" s="9" t="s">
        <v>614</v>
      </c>
    </row>
    <row r="161">
      <c r="A161" s="33" t="s">
        <v>756</v>
      </c>
      <c r="B161" s="33" t="s">
        <v>765</v>
      </c>
      <c r="C161" s="33" t="s">
        <v>766</v>
      </c>
      <c r="D161" s="9" t="s">
        <v>767</v>
      </c>
      <c r="E161" s="9" t="s">
        <v>602</v>
      </c>
    </row>
    <row r="162">
      <c r="D162" s="9" t="s">
        <v>768</v>
      </c>
      <c r="E162" s="9" t="s">
        <v>602</v>
      </c>
    </row>
    <row r="163">
      <c r="D163" s="9" t="s">
        <v>769</v>
      </c>
      <c r="E163" s="9" t="s">
        <v>614</v>
      </c>
    </row>
    <row r="164">
      <c r="A164" s="33" t="s">
        <v>756</v>
      </c>
      <c r="B164" s="33" t="s">
        <v>770</v>
      </c>
      <c r="C164" s="33" t="s">
        <v>771</v>
      </c>
      <c r="D164" s="9" t="s">
        <v>772</v>
      </c>
      <c r="E164" s="9" t="s">
        <v>614</v>
      </c>
    </row>
    <row r="165">
      <c r="D165" s="9" t="s">
        <v>773</v>
      </c>
      <c r="E165" s="9" t="s">
        <v>609</v>
      </c>
    </row>
    <row r="166">
      <c r="D166" s="9" t="s">
        <v>774</v>
      </c>
      <c r="E166" s="9" t="s">
        <v>614</v>
      </c>
    </row>
    <row r="167">
      <c r="A167" s="33" t="s">
        <v>756</v>
      </c>
      <c r="B167" s="33" t="s">
        <v>775</v>
      </c>
      <c r="C167" s="33" t="s">
        <v>766</v>
      </c>
      <c r="D167" s="9" t="s">
        <v>776</v>
      </c>
      <c r="E167" s="9" t="s">
        <v>602</v>
      </c>
    </row>
    <row r="168">
      <c r="D168" s="9" t="s">
        <v>777</v>
      </c>
      <c r="E168" s="9" t="s">
        <v>602</v>
      </c>
    </row>
    <row r="169">
      <c r="D169" s="9" t="s">
        <v>778</v>
      </c>
      <c r="E169" s="9" t="s">
        <v>602</v>
      </c>
    </row>
    <row r="170">
      <c r="A170" s="33" t="s">
        <v>756</v>
      </c>
      <c r="B170" s="33" t="s">
        <v>779</v>
      </c>
      <c r="C170" s="33" t="s">
        <v>766</v>
      </c>
      <c r="D170" s="9" t="s">
        <v>780</v>
      </c>
      <c r="E170" s="9" t="s">
        <v>609</v>
      </c>
    </row>
    <row r="171">
      <c r="D171" s="9" t="s">
        <v>781</v>
      </c>
      <c r="E171" s="9" t="s">
        <v>609</v>
      </c>
    </row>
    <row r="172">
      <c r="D172" s="9" t="s">
        <v>782</v>
      </c>
      <c r="E172" s="9" t="s">
        <v>609</v>
      </c>
    </row>
    <row r="173">
      <c r="A173" s="33" t="s">
        <v>756</v>
      </c>
      <c r="B173" s="33" t="s">
        <v>783</v>
      </c>
      <c r="C173" s="33" t="s">
        <v>766</v>
      </c>
      <c r="D173" s="9" t="s">
        <v>784</v>
      </c>
      <c r="E173" s="9" t="s">
        <v>602</v>
      </c>
    </row>
    <row r="174">
      <c r="D174" s="9" t="s">
        <v>785</v>
      </c>
      <c r="E174" s="9" t="s">
        <v>609</v>
      </c>
    </row>
    <row r="175">
      <c r="D175" s="9" t="s">
        <v>786</v>
      </c>
      <c r="E175" s="9" t="s">
        <v>609</v>
      </c>
    </row>
    <row r="320">
      <c r="A320" s="40"/>
      <c r="B320" s="66" t="s">
        <v>787</v>
      </c>
      <c r="C320" s="65"/>
      <c r="D320" s="65"/>
      <c r="E320" s="65"/>
    </row>
    <row r="321">
      <c r="A321" s="9"/>
      <c r="B321" s="64" t="s">
        <v>788</v>
      </c>
      <c r="C321" s="65"/>
      <c r="D321" s="65"/>
      <c r="E321" s="65"/>
    </row>
    <row r="322">
      <c r="A322" s="9"/>
      <c r="B322" s="64" t="s">
        <v>789</v>
      </c>
      <c r="C322" s="65"/>
      <c r="D322" s="65"/>
      <c r="E322" s="65"/>
    </row>
    <row r="323">
      <c r="A323" s="9"/>
      <c r="B323" s="64" t="s">
        <v>790</v>
      </c>
      <c r="C323" s="65"/>
      <c r="D323" s="65"/>
      <c r="E323" s="65"/>
    </row>
    <row r="324">
      <c r="A324" s="9"/>
      <c r="B324" s="64" t="s">
        <v>791</v>
      </c>
      <c r="C324" s="65"/>
      <c r="D324" s="65"/>
      <c r="E324" s="65"/>
    </row>
    <row r="325">
      <c r="A325" s="9"/>
      <c r="B325" s="64" t="s">
        <v>792</v>
      </c>
      <c r="C325" s="65"/>
      <c r="D325" s="65"/>
      <c r="E325" s="65"/>
    </row>
    <row r="327">
      <c r="A327" s="63"/>
      <c r="B327" s="63" t="s">
        <v>793</v>
      </c>
    </row>
    <row r="328">
      <c r="A328" s="39"/>
      <c r="B328" s="39" t="s">
        <v>794</v>
      </c>
      <c r="C328" s="39" t="s">
        <v>795</v>
      </c>
      <c r="D328" s="9" t="s">
        <v>796</v>
      </c>
      <c r="E328" s="9"/>
    </row>
    <row r="329">
      <c r="A329" s="39"/>
      <c r="D329" s="9" t="s">
        <v>797</v>
      </c>
    </row>
    <row r="330">
      <c r="A330" s="39"/>
      <c r="D330" s="9" t="s">
        <v>798</v>
      </c>
    </row>
    <row r="331">
      <c r="A331" s="39"/>
      <c r="D331" s="9" t="s">
        <v>799</v>
      </c>
    </row>
  </sheetData>
  <mergeCells count="60">
    <mergeCell ref="B142:B147"/>
    <mergeCell ref="B155:B160"/>
    <mergeCell ref="C155:C160"/>
    <mergeCell ref="B328:B331"/>
    <mergeCell ref="C328:C331"/>
    <mergeCell ref="B132:B135"/>
    <mergeCell ref="C132:C135"/>
    <mergeCell ref="B136:B138"/>
    <mergeCell ref="C136:C138"/>
    <mergeCell ref="B139:B141"/>
    <mergeCell ref="C139:C141"/>
    <mergeCell ref="C142:C147"/>
    <mergeCell ref="A164:A166"/>
    <mergeCell ref="A167:A169"/>
    <mergeCell ref="A170:A172"/>
    <mergeCell ref="A173:A175"/>
    <mergeCell ref="A118:A130"/>
    <mergeCell ref="A132:A135"/>
    <mergeCell ref="A136:A138"/>
    <mergeCell ref="A139:A141"/>
    <mergeCell ref="A142:A147"/>
    <mergeCell ref="A155:A160"/>
    <mergeCell ref="A161:A163"/>
    <mergeCell ref="B31:B38"/>
    <mergeCell ref="C31:C38"/>
    <mergeCell ref="B13:B30"/>
    <mergeCell ref="B40:B51"/>
    <mergeCell ref="A13:A67"/>
    <mergeCell ref="C13:C30"/>
    <mergeCell ref="E14:E16"/>
    <mergeCell ref="E18:E19"/>
    <mergeCell ref="E20:E21"/>
    <mergeCell ref="E22:E28"/>
    <mergeCell ref="E32:E38"/>
    <mergeCell ref="B86:B97"/>
    <mergeCell ref="C86:C97"/>
    <mergeCell ref="C40:C51"/>
    <mergeCell ref="B53:B67"/>
    <mergeCell ref="C53:C67"/>
    <mergeCell ref="A69:A84"/>
    <mergeCell ref="B69:B84"/>
    <mergeCell ref="C69:C84"/>
    <mergeCell ref="A86:A97"/>
    <mergeCell ref="A99:A111"/>
    <mergeCell ref="B99:B111"/>
    <mergeCell ref="C99:C111"/>
    <mergeCell ref="B118:B121"/>
    <mergeCell ref="C118:C121"/>
    <mergeCell ref="B122:B130"/>
    <mergeCell ref="C122:C130"/>
    <mergeCell ref="B170:B172"/>
    <mergeCell ref="B173:B175"/>
    <mergeCell ref="B161:B163"/>
    <mergeCell ref="C161:C163"/>
    <mergeCell ref="B164:B166"/>
    <mergeCell ref="C164:C166"/>
    <mergeCell ref="B167:B169"/>
    <mergeCell ref="C167:C169"/>
    <mergeCell ref="C170:C172"/>
    <mergeCell ref="C173:C17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7.63"/>
    <col customWidth="1" min="3" max="3" width="12.38"/>
    <col customWidth="1" min="4" max="4" width="10.63"/>
    <col customWidth="1" min="5" max="5" width="10.5"/>
    <col customWidth="1" min="6" max="6" width="11.25"/>
    <col customWidth="1" min="7" max="7" width="36.88"/>
    <col customWidth="1" min="8" max="8" width="34.5"/>
    <col customWidth="1" min="9" max="26" width="21.13"/>
  </cols>
  <sheetData>
    <row r="1" ht="27.0" customHeight="1">
      <c r="A1" s="86" t="s">
        <v>2</v>
      </c>
      <c r="B1" s="87" t="s">
        <v>11</v>
      </c>
      <c r="C1" s="87" t="s">
        <v>16</v>
      </c>
      <c r="D1" s="87" t="s">
        <v>18</v>
      </c>
      <c r="E1" s="87" t="s">
        <v>14</v>
      </c>
      <c r="F1" s="87" t="s">
        <v>20</v>
      </c>
      <c r="G1" s="87" t="s">
        <v>25</v>
      </c>
      <c r="H1" s="87" t="s">
        <v>800</v>
      </c>
      <c r="I1" s="17"/>
      <c r="J1" s="17"/>
      <c r="K1" s="17"/>
      <c r="L1" s="17"/>
      <c r="M1" s="17"/>
      <c r="N1" s="17"/>
      <c r="O1" s="17"/>
      <c r="P1" s="17"/>
      <c r="Q1" s="17"/>
      <c r="R1" s="17"/>
      <c r="S1" s="17"/>
      <c r="T1" s="17"/>
      <c r="U1" s="17"/>
      <c r="V1" s="17"/>
      <c r="W1" s="17"/>
      <c r="X1" s="17"/>
      <c r="Y1" s="17"/>
      <c r="Z1" s="17"/>
    </row>
    <row r="2" ht="58.5" customHeight="1">
      <c r="A2" s="88" t="s">
        <v>801</v>
      </c>
      <c r="B2" s="88" t="s">
        <v>453</v>
      </c>
      <c r="C2" s="89" t="s">
        <v>244</v>
      </c>
      <c r="D2" s="90"/>
      <c r="E2" s="91">
        <v>46233.0</v>
      </c>
      <c r="F2" s="90"/>
      <c r="G2" s="88"/>
      <c r="H2" s="92"/>
      <c r="I2" s="17"/>
      <c r="J2" s="17"/>
      <c r="K2" s="17"/>
      <c r="L2" s="17"/>
      <c r="M2" s="17"/>
      <c r="N2" s="17"/>
      <c r="O2" s="17"/>
      <c r="P2" s="17"/>
      <c r="Q2" s="17"/>
      <c r="R2" s="17"/>
      <c r="S2" s="17"/>
      <c r="T2" s="17"/>
      <c r="U2" s="17"/>
      <c r="V2" s="17"/>
      <c r="W2" s="17"/>
      <c r="X2" s="17"/>
      <c r="Y2" s="17"/>
      <c r="Z2" s="17"/>
    </row>
    <row r="3" ht="58.5" customHeight="1">
      <c r="A3" s="93" t="s">
        <v>802</v>
      </c>
      <c r="B3" s="88"/>
      <c r="C3" s="89"/>
      <c r="D3" s="90"/>
      <c r="E3" s="91"/>
      <c r="F3" s="90"/>
      <c r="G3" s="88"/>
      <c r="H3" s="92"/>
      <c r="I3" s="17"/>
      <c r="J3" s="17"/>
      <c r="K3" s="17"/>
      <c r="L3" s="17"/>
      <c r="M3" s="17"/>
      <c r="N3" s="17"/>
      <c r="O3" s="17"/>
      <c r="P3" s="17"/>
      <c r="Q3" s="17"/>
      <c r="R3" s="17"/>
      <c r="S3" s="17"/>
      <c r="T3" s="17"/>
      <c r="U3" s="17"/>
      <c r="V3" s="17"/>
      <c r="W3" s="17"/>
      <c r="X3" s="17"/>
      <c r="Y3" s="17"/>
      <c r="Z3" s="17"/>
    </row>
    <row r="4" ht="58.5" customHeight="1">
      <c r="A4" s="88" t="s">
        <v>804</v>
      </c>
      <c r="B4" s="88" t="s">
        <v>806</v>
      </c>
      <c r="C4" s="89" t="s">
        <v>244</v>
      </c>
      <c r="D4" s="90"/>
      <c r="E4" s="91">
        <v>46233.0</v>
      </c>
      <c r="F4" s="90"/>
      <c r="G4" s="88" t="s">
        <v>807</v>
      </c>
      <c r="H4" s="92"/>
      <c r="I4" s="17"/>
      <c r="J4" s="17"/>
      <c r="K4" s="17"/>
      <c r="L4" s="17"/>
      <c r="M4" s="17"/>
      <c r="N4" s="17"/>
      <c r="O4" s="17"/>
      <c r="P4" s="17"/>
      <c r="Q4" s="17"/>
      <c r="R4" s="17"/>
      <c r="S4" s="17"/>
      <c r="T4" s="17"/>
      <c r="U4" s="17"/>
      <c r="V4" s="17"/>
      <c r="W4" s="17"/>
      <c r="X4" s="17"/>
      <c r="Y4" s="17"/>
      <c r="Z4" s="17"/>
    </row>
    <row r="5" ht="58.5" customHeight="1">
      <c r="A5" s="92" t="s">
        <v>810</v>
      </c>
      <c r="B5" s="92" t="s">
        <v>812</v>
      </c>
      <c r="C5" s="89" t="s">
        <v>244</v>
      </c>
      <c r="D5" s="90"/>
      <c r="E5" s="91">
        <v>46233.0</v>
      </c>
      <c r="F5" s="90"/>
      <c r="G5" s="92" t="s">
        <v>814</v>
      </c>
      <c r="H5" s="92" t="s">
        <v>816</v>
      </c>
      <c r="I5" s="17"/>
      <c r="J5" s="17"/>
      <c r="K5" s="17"/>
      <c r="L5" s="17"/>
      <c r="M5" s="17"/>
      <c r="N5" s="17"/>
      <c r="O5" s="17"/>
      <c r="P5" s="17"/>
      <c r="Q5" s="17"/>
      <c r="R5" s="17"/>
      <c r="S5" s="17"/>
      <c r="T5" s="17"/>
      <c r="U5" s="17"/>
      <c r="V5" s="17"/>
      <c r="W5" s="17"/>
      <c r="X5" s="17"/>
      <c r="Y5" s="17"/>
      <c r="Z5" s="17"/>
    </row>
    <row r="6" ht="58.5" customHeight="1">
      <c r="A6" s="92" t="s">
        <v>818</v>
      </c>
      <c r="B6" s="92" t="s">
        <v>812</v>
      </c>
      <c r="C6" s="89" t="s">
        <v>244</v>
      </c>
      <c r="D6" s="90"/>
      <c r="E6" s="91">
        <v>46233.0</v>
      </c>
      <c r="F6" s="90"/>
      <c r="G6" s="92" t="s">
        <v>819</v>
      </c>
      <c r="H6" s="92" t="s">
        <v>820</v>
      </c>
      <c r="I6" s="17"/>
      <c r="J6" s="17"/>
      <c r="K6" s="17"/>
      <c r="L6" s="17"/>
      <c r="M6" s="17"/>
      <c r="N6" s="17"/>
      <c r="O6" s="17"/>
      <c r="P6" s="17"/>
      <c r="Q6" s="17"/>
      <c r="R6" s="17"/>
      <c r="S6" s="17"/>
      <c r="T6" s="17"/>
      <c r="U6" s="17"/>
      <c r="V6" s="17"/>
      <c r="W6" s="17"/>
      <c r="X6" s="17"/>
      <c r="Y6" s="17"/>
      <c r="Z6" s="17"/>
    </row>
    <row r="7" ht="58.5" customHeight="1">
      <c r="A7" s="92" t="s">
        <v>823</v>
      </c>
      <c r="B7" s="92" t="s">
        <v>824</v>
      </c>
      <c r="C7" s="89" t="s">
        <v>244</v>
      </c>
      <c r="D7" s="90"/>
      <c r="E7" s="91">
        <v>46233.0</v>
      </c>
      <c r="F7" s="90"/>
      <c r="G7" s="92" t="s">
        <v>826</v>
      </c>
      <c r="H7" s="92" t="s">
        <v>827</v>
      </c>
      <c r="I7" s="17"/>
      <c r="J7" s="17"/>
      <c r="K7" s="17"/>
      <c r="L7" s="17"/>
      <c r="M7" s="17"/>
      <c r="N7" s="17"/>
      <c r="O7" s="17"/>
      <c r="P7" s="17"/>
      <c r="Q7" s="17"/>
      <c r="R7" s="17"/>
      <c r="S7" s="17"/>
      <c r="T7" s="17"/>
      <c r="U7" s="17"/>
      <c r="V7" s="17"/>
      <c r="W7" s="17"/>
      <c r="X7" s="17"/>
      <c r="Y7" s="17"/>
      <c r="Z7" s="17"/>
    </row>
    <row r="8" ht="58.5" customHeight="1">
      <c r="A8" s="92" t="s">
        <v>828</v>
      </c>
      <c r="B8" s="92" t="s">
        <v>812</v>
      </c>
      <c r="C8" s="89" t="s">
        <v>244</v>
      </c>
      <c r="D8" s="90"/>
      <c r="E8" s="91">
        <v>46233.0</v>
      </c>
      <c r="F8" s="90"/>
      <c r="G8" s="92" t="s">
        <v>830</v>
      </c>
      <c r="H8" s="92" t="s">
        <v>831</v>
      </c>
      <c r="I8" s="17"/>
      <c r="J8" s="17"/>
      <c r="K8" s="17"/>
      <c r="L8" s="17"/>
      <c r="M8" s="17"/>
      <c r="N8" s="17"/>
      <c r="O8" s="17"/>
      <c r="P8" s="17"/>
      <c r="Q8" s="17"/>
      <c r="R8" s="17"/>
      <c r="S8" s="17"/>
      <c r="T8" s="17"/>
      <c r="U8" s="17"/>
      <c r="V8" s="17"/>
      <c r="W8" s="17"/>
      <c r="X8" s="17"/>
      <c r="Y8" s="17"/>
      <c r="Z8" s="17"/>
    </row>
    <row r="9" ht="58.5" customHeight="1">
      <c r="A9" s="92" t="s">
        <v>834</v>
      </c>
      <c r="B9" s="92" t="s">
        <v>812</v>
      </c>
      <c r="C9" s="89" t="s">
        <v>244</v>
      </c>
      <c r="D9" s="90"/>
      <c r="E9" s="91">
        <v>46234.0</v>
      </c>
      <c r="F9" s="90"/>
      <c r="G9" s="88" t="s">
        <v>836</v>
      </c>
      <c r="H9" s="92" t="s">
        <v>837</v>
      </c>
      <c r="I9" s="17"/>
      <c r="J9" s="17"/>
      <c r="K9" s="17"/>
      <c r="L9" s="17"/>
      <c r="M9" s="17"/>
      <c r="N9" s="17"/>
      <c r="O9" s="17"/>
      <c r="P9" s="17"/>
      <c r="Q9" s="17"/>
      <c r="R9" s="17"/>
      <c r="S9" s="17"/>
      <c r="T9" s="17"/>
      <c r="U9" s="17"/>
      <c r="V9" s="17"/>
      <c r="W9" s="17"/>
      <c r="X9" s="17"/>
      <c r="Y9" s="17"/>
      <c r="Z9" s="17"/>
    </row>
    <row r="10" ht="58.5" customHeight="1">
      <c r="A10" s="92" t="s">
        <v>840</v>
      </c>
      <c r="B10" s="92" t="s">
        <v>812</v>
      </c>
      <c r="C10" s="89" t="s">
        <v>244</v>
      </c>
      <c r="D10" s="90"/>
      <c r="E10" s="91">
        <v>46234.0</v>
      </c>
      <c r="F10" s="90"/>
      <c r="G10" s="92" t="s">
        <v>844</v>
      </c>
      <c r="H10" s="92" t="s">
        <v>845</v>
      </c>
      <c r="I10" s="17"/>
      <c r="J10" s="17"/>
      <c r="K10" s="17"/>
      <c r="L10" s="17"/>
      <c r="M10" s="17"/>
      <c r="N10" s="17"/>
      <c r="O10" s="17"/>
      <c r="P10" s="17"/>
      <c r="Q10" s="17"/>
      <c r="R10" s="17"/>
      <c r="S10" s="17"/>
      <c r="T10" s="17"/>
      <c r="U10" s="17"/>
      <c r="V10" s="17"/>
      <c r="W10" s="17"/>
      <c r="X10" s="17"/>
      <c r="Y10" s="17"/>
      <c r="Z10" s="17"/>
    </row>
    <row r="11" ht="58.5" customHeight="1">
      <c r="A11" s="92" t="s">
        <v>849</v>
      </c>
      <c r="B11" s="92" t="s">
        <v>812</v>
      </c>
      <c r="C11" s="89" t="s">
        <v>244</v>
      </c>
      <c r="D11" s="90"/>
      <c r="E11" s="91">
        <v>46234.0</v>
      </c>
      <c r="F11" s="90"/>
      <c r="G11" s="92" t="s">
        <v>853</v>
      </c>
      <c r="H11" s="92" t="s">
        <v>837</v>
      </c>
      <c r="I11" s="17"/>
      <c r="J11" s="17"/>
      <c r="K11" s="17"/>
      <c r="L11" s="17"/>
      <c r="M11" s="17"/>
      <c r="N11" s="17"/>
      <c r="O11" s="17"/>
      <c r="P11" s="17"/>
      <c r="Q11" s="17"/>
      <c r="R11" s="17"/>
      <c r="S11" s="17"/>
      <c r="T11" s="17"/>
      <c r="U11" s="17"/>
      <c r="V11" s="17"/>
      <c r="W11" s="17"/>
      <c r="X11" s="17"/>
      <c r="Y11" s="17"/>
      <c r="Z11" s="17"/>
    </row>
    <row r="12" ht="58.5" customHeight="1">
      <c r="A12" s="92" t="s">
        <v>856</v>
      </c>
      <c r="B12" s="92" t="s">
        <v>812</v>
      </c>
      <c r="C12" s="89" t="s">
        <v>244</v>
      </c>
      <c r="D12" s="90"/>
      <c r="E12" s="91">
        <v>46234.0</v>
      </c>
      <c r="F12" s="90"/>
      <c r="G12" s="92" t="s">
        <v>859</v>
      </c>
      <c r="H12" s="92" t="s">
        <v>860</v>
      </c>
      <c r="I12" s="17"/>
      <c r="J12" s="17"/>
      <c r="K12" s="17"/>
      <c r="L12" s="17"/>
      <c r="M12" s="17"/>
      <c r="N12" s="17"/>
      <c r="O12" s="17"/>
      <c r="P12" s="17"/>
      <c r="Q12" s="17"/>
      <c r="R12" s="17"/>
      <c r="S12" s="17"/>
      <c r="T12" s="17"/>
      <c r="U12" s="17"/>
      <c r="V12" s="17"/>
      <c r="W12" s="17"/>
      <c r="X12" s="17"/>
      <c r="Y12" s="17"/>
      <c r="Z12" s="17"/>
    </row>
    <row r="13" ht="58.5" customHeight="1">
      <c r="A13" s="92" t="s">
        <v>864</v>
      </c>
      <c r="B13" s="92" t="s">
        <v>812</v>
      </c>
      <c r="C13" s="89" t="s">
        <v>244</v>
      </c>
      <c r="D13" s="90"/>
      <c r="E13" s="91">
        <v>46234.0</v>
      </c>
      <c r="F13" s="90"/>
      <c r="G13" s="92" t="s">
        <v>866</v>
      </c>
      <c r="H13" s="92" t="s">
        <v>868</v>
      </c>
      <c r="I13" s="17"/>
      <c r="J13" s="17"/>
      <c r="K13" s="17"/>
      <c r="L13" s="17"/>
      <c r="M13" s="17"/>
      <c r="N13" s="17"/>
      <c r="O13" s="17"/>
      <c r="P13" s="17"/>
      <c r="Q13" s="17"/>
      <c r="R13" s="17"/>
      <c r="S13" s="17"/>
      <c r="T13" s="17"/>
      <c r="U13" s="17"/>
      <c r="V13" s="17"/>
      <c r="W13" s="17"/>
      <c r="X13" s="17"/>
      <c r="Y13" s="17"/>
      <c r="Z13" s="17"/>
    </row>
    <row r="14" ht="58.5" customHeight="1">
      <c r="A14" s="92" t="s">
        <v>871</v>
      </c>
      <c r="B14" s="92" t="s">
        <v>812</v>
      </c>
      <c r="C14" s="89" t="s">
        <v>244</v>
      </c>
      <c r="D14" s="90"/>
      <c r="E14" s="91">
        <v>46234.0</v>
      </c>
      <c r="F14" s="90"/>
      <c r="G14" s="92" t="s">
        <v>873</v>
      </c>
      <c r="H14" s="92" t="s">
        <v>874</v>
      </c>
      <c r="I14" s="17"/>
      <c r="J14" s="17"/>
      <c r="K14" s="17"/>
      <c r="L14" s="17"/>
      <c r="M14" s="17"/>
      <c r="N14" s="17"/>
      <c r="O14" s="17"/>
      <c r="P14" s="17"/>
      <c r="Q14" s="17"/>
      <c r="R14" s="17"/>
      <c r="S14" s="17"/>
      <c r="T14" s="17"/>
      <c r="U14" s="17"/>
      <c r="V14" s="17"/>
      <c r="W14" s="17"/>
      <c r="X14" s="17"/>
      <c r="Y14" s="17"/>
      <c r="Z14" s="17"/>
    </row>
    <row r="15" ht="58.5" customHeight="1">
      <c r="A15" s="88" t="s">
        <v>877</v>
      </c>
      <c r="B15" s="88" t="s">
        <v>453</v>
      </c>
      <c r="C15" s="89" t="s">
        <v>244</v>
      </c>
      <c r="D15" s="90"/>
      <c r="E15" s="91">
        <v>46235.0</v>
      </c>
      <c r="F15" s="90"/>
      <c r="G15" s="88" t="s">
        <v>878</v>
      </c>
      <c r="H15" s="92"/>
      <c r="I15" s="17"/>
      <c r="J15" s="17"/>
      <c r="K15" s="17"/>
      <c r="L15" s="17"/>
      <c r="M15" s="17"/>
      <c r="N15" s="17"/>
      <c r="O15" s="17"/>
      <c r="P15" s="17"/>
      <c r="Q15" s="17"/>
      <c r="R15" s="17"/>
      <c r="S15" s="17"/>
      <c r="T15" s="17"/>
      <c r="U15" s="17"/>
      <c r="V15" s="17"/>
      <c r="W15" s="17"/>
      <c r="X15" s="17"/>
      <c r="Y15" s="17"/>
      <c r="Z15" s="17"/>
    </row>
    <row r="16" ht="58.5" customHeight="1">
      <c r="A16" s="92" t="s">
        <v>881</v>
      </c>
      <c r="B16" s="92" t="s">
        <v>812</v>
      </c>
      <c r="C16" s="89" t="s">
        <v>244</v>
      </c>
      <c r="D16" s="90"/>
      <c r="E16" s="91">
        <v>46235.0</v>
      </c>
      <c r="F16" s="90"/>
      <c r="G16" s="92" t="s">
        <v>884</v>
      </c>
      <c r="H16" s="92" t="s">
        <v>886</v>
      </c>
      <c r="I16" s="17"/>
      <c r="J16" s="17"/>
      <c r="K16" s="17"/>
      <c r="L16" s="17"/>
      <c r="M16" s="17"/>
      <c r="N16" s="17"/>
      <c r="O16" s="17"/>
      <c r="P16" s="17"/>
      <c r="Q16" s="17"/>
      <c r="R16" s="17"/>
      <c r="S16" s="17"/>
      <c r="T16" s="17"/>
      <c r="U16" s="17"/>
      <c r="V16" s="17"/>
      <c r="W16" s="17"/>
      <c r="X16" s="17"/>
      <c r="Y16" s="17"/>
      <c r="Z16" s="17"/>
    </row>
    <row r="17" ht="58.5" customHeight="1">
      <c r="A17" s="92" t="s">
        <v>887</v>
      </c>
      <c r="B17" s="92" t="s">
        <v>812</v>
      </c>
      <c r="C17" s="89" t="s">
        <v>244</v>
      </c>
      <c r="D17" s="90"/>
      <c r="E17" s="91">
        <v>46235.0</v>
      </c>
      <c r="F17" s="90"/>
      <c r="G17" s="92" t="s">
        <v>889</v>
      </c>
      <c r="H17" s="92" t="s">
        <v>890</v>
      </c>
      <c r="I17" s="17"/>
      <c r="J17" s="17"/>
      <c r="K17" s="17"/>
      <c r="L17" s="17"/>
      <c r="M17" s="17"/>
      <c r="N17" s="17"/>
      <c r="O17" s="17"/>
      <c r="P17" s="17"/>
      <c r="Q17" s="17"/>
      <c r="R17" s="17"/>
      <c r="S17" s="17"/>
      <c r="T17" s="17"/>
      <c r="U17" s="17"/>
      <c r="V17" s="17"/>
      <c r="W17" s="17"/>
      <c r="X17" s="17"/>
      <c r="Y17" s="17"/>
      <c r="Z17" s="17"/>
    </row>
    <row r="18" ht="58.5" customHeight="1">
      <c r="A18" s="92" t="s">
        <v>893</v>
      </c>
      <c r="B18" s="92" t="s">
        <v>824</v>
      </c>
      <c r="C18" s="89" t="s">
        <v>244</v>
      </c>
      <c r="D18" s="90"/>
      <c r="E18" s="91">
        <v>46235.0</v>
      </c>
      <c r="F18" s="90"/>
      <c r="G18" s="92" t="s">
        <v>895</v>
      </c>
      <c r="H18" s="92" t="s">
        <v>897</v>
      </c>
      <c r="I18" s="17"/>
      <c r="J18" s="17"/>
      <c r="K18" s="17"/>
      <c r="L18" s="17"/>
      <c r="M18" s="17"/>
      <c r="N18" s="17"/>
      <c r="O18" s="17"/>
      <c r="P18" s="17"/>
      <c r="Q18" s="17"/>
      <c r="R18" s="17"/>
      <c r="S18" s="17"/>
      <c r="T18" s="17"/>
      <c r="U18" s="17"/>
      <c r="V18" s="17"/>
      <c r="W18" s="17"/>
      <c r="X18" s="17"/>
      <c r="Y18" s="17"/>
      <c r="Z18" s="17"/>
    </row>
    <row r="19" ht="58.5" customHeight="1">
      <c r="A19" s="92" t="s">
        <v>900</v>
      </c>
      <c r="B19" s="92" t="s">
        <v>812</v>
      </c>
      <c r="C19" s="89" t="s">
        <v>244</v>
      </c>
      <c r="D19" s="90"/>
      <c r="E19" s="91">
        <v>46236.0</v>
      </c>
      <c r="F19" s="90"/>
      <c r="G19" s="92" t="s">
        <v>902</v>
      </c>
      <c r="H19" s="92" t="s">
        <v>904</v>
      </c>
      <c r="I19" s="17"/>
      <c r="J19" s="17"/>
      <c r="K19" s="17"/>
      <c r="L19" s="17"/>
      <c r="M19" s="17"/>
      <c r="N19" s="17"/>
      <c r="O19" s="17"/>
      <c r="P19" s="17"/>
      <c r="Q19" s="17"/>
      <c r="R19" s="17"/>
      <c r="S19" s="17"/>
      <c r="T19" s="17"/>
      <c r="U19" s="17"/>
      <c r="V19" s="17"/>
      <c r="W19" s="17"/>
      <c r="X19" s="17"/>
      <c r="Y19" s="17"/>
      <c r="Z19" s="17"/>
    </row>
    <row r="20" ht="58.5" customHeight="1">
      <c r="A20" s="92" t="s">
        <v>908</v>
      </c>
      <c r="B20" s="92" t="s">
        <v>824</v>
      </c>
      <c r="C20" s="89" t="s">
        <v>244</v>
      </c>
      <c r="D20" s="90"/>
      <c r="E20" s="91">
        <v>46236.0</v>
      </c>
      <c r="F20" s="90"/>
      <c r="G20" s="92" t="s">
        <v>909</v>
      </c>
      <c r="H20" s="92" t="s">
        <v>911</v>
      </c>
      <c r="I20" s="17"/>
      <c r="J20" s="17"/>
      <c r="K20" s="17"/>
      <c r="L20" s="17"/>
      <c r="M20" s="17"/>
      <c r="N20" s="17"/>
      <c r="O20" s="17"/>
      <c r="P20" s="17"/>
      <c r="Q20" s="17"/>
      <c r="R20" s="17"/>
      <c r="S20" s="17"/>
      <c r="T20" s="17"/>
      <c r="U20" s="17"/>
      <c r="V20" s="17"/>
      <c r="W20" s="17"/>
      <c r="X20" s="17"/>
      <c r="Y20" s="17"/>
      <c r="Z20" s="17"/>
    </row>
    <row r="21" ht="58.5" customHeight="1">
      <c r="A21" s="92" t="s">
        <v>915</v>
      </c>
      <c r="B21" s="92" t="s">
        <v>917</v>
      </c>
      <c r="C21" s="89" t="s">
        <v>244</v>
      </c>
      <c r="D21" s="90"/>
      <c r="E21" s="91">
        <v>46236.0</v>
      </c>
      <c r="F21" s="90"/>
      <c r="G21" s="92" t="s">
        <v>919</v>
      </c>
      <c r="H21" s="92" t="s">
        <v>837</v>
      </c>
      <c r="I21" s="17"/>
      <c r="J21" s="17"/>
      <c r="K21" s="17"/>
      <c r="L21" s="17"/>
      <c r="M21" s="17"/>
      <c r="N21" s="17"/>
      <c r="O21" s="17"/>
      <c r="P21" s="17"/>
      <c r="Q21" s="17"/>
      <c r="R21" s="17"/>
      <c r="S21" s="17"/>
      <c r="T21" s="17"/>
      <c r="U21" s="17"/>
      <c r="V21" s="17"/>
      <c r="W21" s="17"/>
      <c r="X21" s="17"/>
      <c r="Y21" s="17"/>
      <c r="Z21" s="17"/>
    </row>
    <row r="22" ht="58.5" customHeight="1">
      <c r="A22" s="92" t="s">
        <v>922</v>
      </c>
      <c r="B22" s="92" t="s">
        <v>824</v>
      </c>
      <c r="C22" s="89" t="s">
        <v>244</v>
      </c>
      <c r="D22" s="90"/>
      <c r="E22" s="91">
        <v>46237.0</v>
      </c>
      <c r="F22" s="90"/>
      <c r="G22" s="92" t="s">
        <v>924</v>
      </c>
      <c r="H22" s="92" t="s">
        <v>831</v>
      </c>
      <c r="I22" s="17"/>
      <c r="J22" s="17"/>
      <c r="K22" s="17"/>
      <c r="L22" s="17"/>
      <c r="M22" s="17"/>
      <c r="N22" s="17"/>
      <c r="O22" s="17"/>
      <c r="P22" s="17"/>
      <c r="Q22" s="17"/>
      <c r="R22" s="17"/>
      <c r="S22" s="17"/>
      <c r="T22" s="17"/>
      <c r="U22" s="17"/>
      <c r="V22" s="17"/>
      <c r="W22" s="17"/>
      <c r="X22" s="17"/>
      <c r="Y22" s="17"/>
      <c r="Z22" s="17"/>
    </row>
    <row r="23" ht="58.5" customHeight="1">
      <c r="A23" s="92" t="s">
        <v>928</v>
      </c>
      <c r="B23" s="92" t="s">
        <v>824</v>
      </c>
      <c r="C23" s="89" t="s">
        <v>244</v>
      </c>
      <c r="D23" s="90"/>
      <c r="E23" s="91">
        <v>46237.0</v>
      </c>
      <c r="F23" s="90"/>
      <c r="G23" s="92" t="s">
        <v>931</v>
      </c>
      <c r="H23" s="92" t="s">
        <v>932</v>
      </c>
      <c r="I23" s="17"/>
      <c r="J23" s="17"/>
      <c r="K23" s="17"/>
      <c r="L23" s="17"/>
      <c r="M23" s="17"/>
      <c r="N23" s="17"/>
      <c r="O23" s="17"/>
      <c r="P23" s="17"/>
      <c r="Q23" s="17"/>
      <c r="R23" s="17"/>
      <c r="S23" s="17"/>
      <c r="T23" s="17"/>
      <c r="U23" s="17"/>
      <c r="V23" s="17"/>
      <c r="W23" s="17"/>
      <c r="X23" s="17"/>
      <c r="Y23" s="17"/>
      <c r="Z23" s="17"/>
    </row>
    <row r="24" ht="58.5" customHeight="1">
      <c r="A24" s="92" t="s">
        <v>936</v>
      </c>
      <c r="B24" s="92" t="s">
        <v>812</v>
      </c>
      <c r="C24" s="89" t="s">
        <v>244</v>
      </c>
      <c r="D24" s="90"/>
      <c r="E24" s="91">
        <v>46237.0</v>
      </c>
      <c r="F24" s="90"/>
      <c r="G24" s="92" t="s">
        <v>938</v>
      </c>
      <c r="H24" s="92" t="s">
        <v>939</v>
      </c>
      <c r="I24" s="17"/>
      <c r="J24" s="17"/>
      <c r="K24" s="17"/>
      <c r="L24" s="17"/>
      <c r="M24" s="17"/>
      <c r="N24" s="17"/>
      <c r="O24" s="17"/>
      <c r="P24" s="17"/>
      <c r="Q24" s="17"/>
      <c r="R24" s="17"/>
      <c r="S24" s="17"/>
      <c r="T24" s="17"/>
      <c r="U24" s="17"/>
      <c r="V24" s="17"/>
      <c r="W24" s="17"/>
      <c r="X24" s="17"/>
      <c r="Y24" s="17"/>
      <c r="Z24" s="17"/>
    </row>
    <row r="25" ht="58.5" customHeight="1">
      <c r="A25" s="92" t="s">
        <v>943</v>
      </c>
      <c r="B25" s="92" t="s">
        <v>812</v>
      </c>
      <c r="C25" s="89" t="s">
        <v>244</v>
      </c>
      <c r="D25" s="90"/>
      <c r="E25" s="91">
        <v>46237.0</v>
      </c>
      <c r="F25" s="90"/>
      <c r="G25" s="92" t="s">
        <v>947</v>
      </c>
      <c r="H25" s="92" t="s">
        <v>948</v>
      </c>
      <c r="I25" s="17"/>
      <c r="J25" s="17"/>
      <c r="K25" s="17"/>
      <c r="L25" s="17"/>
      <c r="M25" s="17"/>
      <c r="N25" s="17"/>
      <c r="O25" s="17"/>
      <c r="P25" s="17"/>
      <c r="Q25" s="17"/>
      <c r="R25" s="17"/>
      <c r="S25" s="17"/>
      <c r="T25" s="17"/>
      <c r="U25" s="17"/>
      <c r="V25" s="17"/>
      <c r="W25" s="17"/>
      <c r="X25" s="17"/>
      <c r="Y25" s="17"/>
      <c r="Z25" s="17"/>
    </row>
    <row r="26" ht="58.5" customHeight="1">
      <c r="A26" s="92" t="s">
        <v>952</v>
      </c>
      <c r="B26" s="92" t="s">
        <v>812</v>
      </c>
      <c r="C26" s="89" t="s">
        <v>244</v>
      </c>
      <c r="D26" s="90"/>
      <c r="E26" s="91">
        <v>46237.0</v>
      </c>
      <c r="F26" s="90"/>
      <c r="G26" s="92" t="s">
        <v>955</v>
      </c>
      <c r="H26" s="92" t="s">
        <v>939</v>
      </c>
      <c r="I26" s="17"/>
      <c r="J26" s="17"/>
      <c r="K26" s="17"/>
      <c r="L26" s="17"/>
      <c r="M26" s="17"/>
      <c r="N26" s="17"/>
      <c r="O26" s="17"/>
      <c r="P26" s="17"/>
      <c r="Q26" s="17"/>
      <c r="R26" s="17"/>
      <c r="S26" s="17"/>
      <c r="T26" s="17"/>
      <c r="U26" s="17"/>
      <c r="V26" s="17"/>
      <c r="W26" s="17"/>
      <c r="X26" s="17"/>
      <c r="Y26" s="17"/>
      <c r="Z26" s="17"/>
    </row>
    <row r="27" ht="58.5" customHeight="1">
      <c r="A27" s="92" t="s">
        <v>959</v>
      </c>
      <c r="B27" s="92" t="s">
        <v>812</v>
      </c>
      <c r="C27" s="89" t="s">
        <v>244</v>
      </c>
      <c r="D27" s="90"/>
      <c r="E27" s="91">
        <v>46237.0</v>
      </c>
      <c r="F27" s="90"/>
      <c r="G27" s="92" t="s">
        <v>961</v>
      </c>
      <c r="H27" s="92" t="s">
        <v>837</v>
      </c>
      <c r="I27" s="17"/>
      <c r="J27" s="17"/>
      <c r="K27" s="17"/>
      <c r="L27" s="17"/>
      <c r="M27" s="17"/>
      <c r="N27" s="17"/>
      <c r="O27" s="17"/>
      <c r="P27" s="17"/>
      <c r="Q27" s="17"/>
      <c r="R27" s="17"/>
      <c r="S27" s="17"/>
      <c r="T27" s="17"/>
      <c r="U27" s="17"/>
      <c r="V27" s="17"/>
      <c r="W27" s="17"/>
      <c r="X27" s="17"/>
      <c r="Y27" s="17"/>
      <c r="Z27" s="17"/>
    </row>
    <row r="28" ht="58.5" customHeight="1">
      <c r="A28" s="117" t="s">
        <v>965</v>
      </c>
      <c r="B28" s="117" t="s">
        <v>812</v>
      </c>
      <c r="C28" s="89" t="s">
        <v>244</v>
      </c>
      <c r="D28" s="118"/>
      <c r="E28" s="118"/>
      <c r="F28" s="118"/>
      <c r="G28" s="117" t="s">
        <v>968</v>
      </c>
      <c r="H28" s="117" t="s">
        <v>969</v>
      </c>
      <c r="I28" s="119"/>
      <c r="J28" s="119"/>
      <c r="K28" s="119"/>
      <c r="L28" s="119"/>
      <c r="M28" s="119"/>
      <c r="N28" s="119"/>
      <c r="O28" s="119"/>
      <c r="P28" s="119"/>
      <c r="Q28" s="119"/>
      <c r="R28" s="119"/>
      <c r="S28" s="119"/>
      <c r="T28" s="119"/>
      <c r="U28" s="119"/>
      <c r="V28" s="119"/>
      <c r="W28" s="119"/>
      <c r="X28" s="119"/>
      <c r="Y28" s="119"/>
      <c r="Z28" s="119"/>
    </row>
    <row r="29" ht="58.5" customHeight="1">
      <c r="A29" s="117" t="s">
        <v>973</v>
      </c>
      <c r="B29" s="117" t="s">
        <v>812</v>
      </c>
      <c r="C29" s="89" t="s">
        <v>244</v>
      </c>
      <c r="D29" s="118"/>
      <c r="E29" s="118"/>
      <c r="F29" s="118"/>
      <c r="G29" s="117" t="s">
        <v>975</v>
      </c>
      <c r="H29" s="117" t="s">
        <v>976</v>
      </c>
      <c r="I29" s="119"/>
      <c r="J29" s="119"/>
      <c r="K29" s="119"/>
      <c r="L29" s="119"/>
      <c r="M29" s="119"/>
      <c r="N29" s="119"/>
      <c r="O29" s="119"/>
      <c r="P29" s="119"/>
      <c r="Q29" s="119"/>
      <c r="R29" s="119"/>
      <c r="S29" s="119"/>
      <c r="T29" s="119"/>
      <c r="U29" s="119"/>
      <c r="V29" s="119"/>
      <c r="W29" s="119"/>
      <c r="X29" s="119"/>
      <c r="Y29" s="119"/>
      <c r="Z29" s="119"/>
    </row>
    <row r="30" ht="58.5" customHeight="1">
      <c r="A30" s="117" t="s">
        <v>979</v>
      </c>
      <c r="B30" s="117" t="s">
        <v>812</v>
      </c>
      <c r="C30" s="89" t="s">
        <v>244</v>
      </c>
      <c r="D30" s="118"/>
      <c r="E30" s="118"/>
      <c r="F30" s="118"/>
      <c r="G30" s="117" t="s">
        <v>982</v>
      </c>
      <c r="H30" s="117" t="s">
        <v>831</v>
      </c>
      <c r="I30" s="119"/>
      <c r="J30" s="119"/>
      <c r="K30" s="119"/>
      <c r="L30" s="119"/>
      <c r="M30" s="119"/>
      <c r="N30" s="119"/>
      <c r="O30" s="119"/>
      <c r="P30" s="119"/>
      <c r="Q30" s="119"/>
      <c r="R30" s="119"/>
      <c r="S30" s="119"/>
      <c r="T30" s="119"/>
      <c r="U30" s="119"/>
      <c r="V30" s="119"/>
      <c r="W30" s="119"/>
      <c r="X30" s="119"/>
      <c r="Y30" s="119"/>
      <c r="Z30" s="119"/>
    </row>
    <row r="31" ht="58.5" customHeight="1">
      <c r="A31" s="117" t="s">
        <v>986</v>
      </c>
      <c r="B31" s="117" t="s">
        <v>824</v>
      </c>
      <c r="C31" s="89" t="s">
        <v>244</v>
      </c>
      <c r="D31" s="118"/>
      <c r="E31" s="118"/>
      <c r="F31" s="118"/>
      <c r="G31" s="117" t="s">
        <v>987</v>
      </c>
      <c r="H31" s="117" t="s">
        <v>988</v>
      </c>
      <c r="I31" s="119"/>
      <c r="J31" s="119"/>
      <c r="K31" s="119"/>
      <c r="L31" s="119"/>
      <c r="M31" s="119"/>
      <c r="N31" s="119"/>
      <c r="O31" s="119"/>
      <c r="P31" s="119"/>
      <c r="Q31" s="119"/>
      <c r="R31" s="119"/>
      <c r="S31" s="119"/>
      <c r="T31" s="119"/>
      <c r="U31" s="119"/>
      <c r="V31" s="119"/>
      <c r="W31" s="119"/>
      <c r="X31" s="119"/>
      <c r="Y31" s="119"/>
      <c r="Z31" s="119"/>
    </row>
    <row r="32" ht="58.5" customHeight="1"/>
    <row r="33" ht="58.5" customHeight="1"/>
    <row r="34" ht="58.5" customHeight="1"/>
    <row r="35" ht="58.5" customHeight="1"/>
    <row r="36" ht="58.5" customHeight="1"/>
    <row r="37" ht="58.5" customHeight="1"/>
    <row r="38" ht="58.5" customHeight="1"/>
    <row r="39" ht="58.5" customHeight="1"/>
    <row r="40" ht="58.5" customHeight="1"/>
    <row r="41" ht="58.5" customHeight="1"/>
    <row r="42" ht="58.5" customHeight="1"/>
    <row r="43" ht="58.5" customHeight="1"/>
    <row r="44" ht="58.5" customHeight="1"/>
    <row r="45" ht="58.5" customHeight="1"/>
    <row r="46" ht="58.5" customHeight="1"/>
    <row r="47" ht="58.5" customHeight="1"/>
    <row r="48" ht="58.5" customHeight="1"/>
    <row r="49" ht="58.5" customHeight="1"/>
    <row r="50" ht="58.5" customHeight="1"/>
    <row r="51" ht="58.5" customHeight="1"/>
    <row r="52" ht="58.5" customHeight="1"/>
    <row r="53" ht="58.5" customHeight="1"/>
    <row r="54" ht="58.5" customHeight="1"/>
    <row r="55" ht="58.5" customHeight="1"/>
    <row r="56" ht="58.5" customHeight="1"/>
    <row r="57" ht="58.5" customHeight="1"/>
    <row r="58" ht="58.5" customHeight="1"/>
    <row r="59" ht="58.5" customHeight="1"/>
    <row r="60" ht="58.5" customHeight="1"/>
    <row r="61" ht="58.5" customHeight="1"/>
    <row r="62" ht="58.5" customHeight="1"/>
    <row r="63" ht="58.5" customHeight="1"/>
    <row r="64" ht="58.5" customHeight="1"/>
    <row r="65" ht="58.5" customHeight="1"/>
    <row r="66" ht="58.5" customHeight="1"/>
    <row r="67" ht="58.5" customHeight="1"/>
    <row r="68" ht="58.5" customHeight="1"/>
    <row r="69" ht="58.5" customHeight="1"/>
    <row r="70" ht="58.5" customHeight="1"/>
    <row r="71" ht="58.5" customHeight="1"/>
    <row r="72" ht="58.5" customHeight="1"/>
    <row r="73" ht="58.5" customHeight="1"/>
    <row r="74" ht="58.5" customHeight="1"/>
    <row r="75" ht="58.5" customHeight="1"/>
    <row r="76" ht="58.5" customHeight="1"/>
    <row r="77" ht="58.5" customHeight="1"/>
    <row r="78" ht="58.5" customHeight="1"/>
    <row r="79" ht="58.5" customHeight="1"/>
    <row r="80" ht="58.5" customHeight="1"/>
    <row r="81" ht="58.5" customHeight="1"/>
    <row r="82" ht="58.5" customHeight="1"/>
    <row r="83" ht="58.5" customHeight="1"/>
    <row r="84" ht="58.5" customHeight="1"/>
    <row r="85" ht="58.5" customHeight="1"/>
    <row r="86" ht="58.5" customHeight="1"/>
    <row r="87" ht="58.5" customHeight="1"/>
    <row r="88" ht="58.5" customHeight="1"/>
    <row r="89" ht="58.5" customHeight="1"/>
    <row r="90" ht="58.5" customHeight="1"/>
    <row r="91" ht="58.5" customHeight="1"/>
    <row r="92" ht="58.5" customHeight="1"/>
    <row r="93" ht="58.5" customHeight="1"/>
    <row r="94" ht="58.5" customHeight="1"/>
    <row r="95" ht="58.5" customHeight="1"/>
    <row r="96" ht="58.5" customHeight="1"/>
    <row r="97" ht="58.5" customHeight="1"/>
    <row r="98" ht="58.5" customHeight="1"/>
    <row r="99" ht="58.5" customHeight="1"/>
    <row r="100" ht="58.5" customHeight="1"/>
    <row r="101" ht="58.5" customHeight="1"/>
    <row r="102" ht="58.5" customHeight="1"/>
    <row r="103" ht="58.5" customHeight="1"/>
    <row r="104" ht="58.5" customHeight="1"/>
    <row r="105" ht="58.5" customHeight="1"/>
    <row r="106" ht="58.5" customHeight="1"/>
    <row r="107" ht="58.5" customHeight="1"/>
    <row r="108" ht="58.5" customHeight="1"/>
    <row r="109" ht="58.5" customHeight="1"/>
    <row r="110" ht="58.5" customHeight="1"/>
    <row r="111" ht="58.5" customHeight="1"/>
    <row r="112" ht="58.5" customHeight="1"/>
    <row r="113" ht="58.5" customHeight="1"/>
    <row r="114" ht="58.5" customHeight="1"/>
    <row r="115" ht="58.5" customHeight="1"/>
    <row r="116" ht="58.5" customHeight="1"/>
    <row r="117" ht="58.5" customHeight="1"/>
    <row r="118" ht="58.5" customHeight="1"/>
    <row r="119" ht="58.5" customHeight="1"/>
    <row r="120" ht="58.5" customHeight="1"/>
    <row r="121" ht="58.5" customHeight="1"/>
    <row r="122" ht="58.5" customHeight="1"/>
    <row r="123" ht="58.5" customHeight="1"/>
    <row r="124" ht="58.5" customHeight="1"/>
    <row r="125" ht="58.5" customHeight="1"/>
    <row r="126" ht="58.5" customHeight="1"/>
    <row r="127" ht="58.5" customHeight="1"/>
    <row r="128" ht="58.5" customHeight="1"/>
    <row r="129" ht="58.5" customHeight="1"/>
    <row r="130" ht="58.5" customHeight="1"/>
    <row r="131" ht="58.5" customHeight="1"/>
    <row r="132" ht="58.5" customHeight="1"/>
    <row r="133" ht="58.5" customHeight="1"/>
    <row r="134" ht="58.5" customHeight="1"/>
    <row r="135" ht="58.5" customHeight="1"/>
    <row r="136" ht="58.5" customHeight="1"/>
    <row r="137" ht="58.5" customHeight="1"/>
    <row r="138" ht="58.5" customHeight="1"/>
    <row r="139" ht="58.5" customHeight="1"/>
    <row r="140" ht="58.5" customHeight="1"/>
    <row r="141" ht="58.5" customHeight="1"/>
    <row r="142" ht="58.5" customHeight="1"/>
    <row r="143" ht="58.5" customHeight="1"/>
    <row r="144" ht="58.5" customHeight="1"/>
    <row r="145" ht="58.5" customHeight="1"/>
    <row r="146" ht="58.5" customHeight="1"/>
    <row r="147" ht="58.5" customHeight="1"/>
    <row r="148" ht="58.5" customHeight="1"/>
    <row r="149" ht="58.5" customHeight="1"/>
    <row r="150" ht="58.5" customHeight="1"/>
    <row r="151" ht="58.5" customHeight="1"/>
    <row r="152" ht="58.5" customHeight="1"/>
    <row r="153" ht="58.5" customHeight="1"/>
    <row r="154" ht="58.5" customHeight="1"/>
    <row r="155" ht="58.5" customHeight="1"/>
    <row r="156" ht="58.5" customHeight="1"/>
    <row r="157" ht="58.5" customHeight="1"/>
    <row r="158" ht="58.5" customHeight="1"/>
    <row r="159" ht="58.5" customHeight="1"/>
    <row r="160" ht="58.5" customHeight="1"/>
    <row r="161" ht="58.5" customHeight="1"/>
    <row r="162" ht="58.5" customHeight="1"/>
    <row r="163" ht="58.5" customHeight="1"/>
    <row r="164" ht="58.5" customHeight="1"/>
    <row r="165" ht="58.5" customHeight="1"/>
    <row r="166" ht="58.5" customHeight="1"/>
    <row r="167" ht="58.5" customHeight="1"/>
    <row r="168" ht="58.5" customHeight="1"/>
    <row r="169" ht="58.5" customHeight="1"/>
    <row r="170" ht="58.5" customHeight="1"/>
    <row r="171" ht="58.5" customHeight="1"/>
    <row r="172" ht="58.5" customHeight="1"/>
    <row r="173" ht="58.5" customHeight="1"/>
    <row r="174" ht="58.5" customHeight="1"/>
    <row r="175" ht="58.5" customHeight="1"/>
    <row r="176" ht="58.5" customHeight="1"/>
    <row r="177" ht="58.5" customHeight="1"/>
    <row r="178" ht="58.5" customHeight="1"/>
    <row r="179" ht="58.5" customHeight="1"/>
    <row r="180" ht="58.5" customHeight="1"/>
    <row r="181" ht="58.5" customHeight="1"/>
    <row r="182" ht="58.5" customHeight="1"/>
    <row r="183" ht="58.5" customHeight="1"/>
    <row r="184" ht="58.5" customHeight="1"/>
    <row r="185" ht="58.5" customHeight="1"/>
    <row r="186" ht="58.5" customHeight="1"/>
    <row r="187" ht="58.5" customHeight="1"/>
    <row r="188" ht="58.5" customHeight="1"/>
    <row r="189" ht="58.5" customHeight="1"/>
    <row r="190" ht="58.5" customHeight="1"/>
    <row r="191" ht="58.5" customHeight="1"/>
    <row r="192" ht="58.5" customHeight="1"/>
    <row r="193" ht="58.5" customHeight="1"/>
    <row r="194" ht="58.5" customHeight="1"/>
    <row r="195" ht="58.5" customHeight="1"/>
    <row r="196" ht="58.5" customHeight="1"/>
    <row r="197" ht="58.5" customHeight="1"/>
    <row r="198" ht="58.5" customHeight="1"/>
    <row r="199" ht="58.5" customHeight="1"/>
    <row r="200" ht="58.5" customHeight="1"/>
    <row r="201" ht="58.5" customHeight="1"/>
    <row r="202" ht="58.5" customHeight="1"/>
    <row r="203" ht="58.5" customHeight="1"/>
    <row r="204" ht="58.5" customHeight="1"/>
    <row r="205" ht="58.5" customHeight="1"/>
    <row r="206" ht="58.5" customHeight="1"/>
    <row r="207" ht="58.5" customHeight="1"/>
    <row r="208" ht="58.5" customHeight="1"/>
    <row r="209" ht="58.5" customHeight="1"/>
    <row r="210" ht="58.5" customHeight="1"/>
    <row r="211" ht="58.5" customHeight="1"/>
    <row r="212" ht="58.5" customHeight="1"/>
    <row r="213" ht="58.5" customHeight="1"/>
    <row r="214" ht="58.5" customHeight="1"/>
    <row r="215" ht="58.5" customHeight="1"/>
    <row r="216" ht="58.5" customHeight="1"/>
    <row r="217" ht="58.5" customHeight="1"/>
    <row r="218" ht="58.5" customHeight="1"/>
    <row r="219" ht="58.5" customHeight="1"/>
    <row r="220" ht="58.5" customHeight="1"/>
    <row r="221" ht="58.5" customHeight="1"/>
    <row r="222" ht="58.5" customHeight="1"/>
    <row r="223" ht="58.5" customHeight="1"/>
    <row r="224" ht="58.5" customHeight="1"/>
    <row r="225" ht="58.5" customHeight="1"/>
    <row r="226" ht="58.5" customHeight="1"/>
    <row r="227" ht="58.5" customHeight="1"/>
    <row r="228" ht="58.5" customHeight="1"/>
    <row r="229" ht="58.5" customHeight="1"/>
    <row r="230" ht="58.5" customHeight="1"/>
    <row r="231" ht="58.5" customHeight="1"/>
    <row r="232" ht="58.5" customHeight="1"/>
    <row r="233" ht="58.5" customHeight="1"/>
    <row r="234" ht="58.5" customHeight="1"/>
    <row r="235" ht="58.5" customHeight="1"/>
    <row r="236" ht="58.5" customHeight="1"/>
    <row r="237" ht="58.5" customHeight="1"/>
    <row r="238" ht="58.5" customHeight="1"/>
    <row r="239" ht="58.5" customHeight="1"/>
    <row r="240" ht="58.5" customHeight="1"/>
    <row r="241" ht="58.5" customHeight="1"/>
    <row r="242" ht="58.5" customHeight="1"/>
    <row r="243" ht="58.5" customHeight="1"/>
    <row r="244" ht="58.5" customHeight="1"/>
    <row r="245" ht="58.5" customHeight="1"/>
    <row r="246" ht="58.5" customHeight="1"/>
    <row r="247" ht="58.5" customHeight="1"/>
    <row r="248" ht="58.5" customHeight="1"/>
    <row r="249" ht="58.5" customHeight="1"/>
    <row r="250" ht="58.5" customHeight="1"/>
    <row r="251" ht="58.5" customHeight="1"/>
    <row r="252" ht="58.5" customHeight="1"/>
    <row r="253" ht="58.5" customHeight="1"/>
    <row r="254" ht="58.5" customHeight="1"/>
    <row r="255" ht="58.5" customHeight="1"/>
    <row r="256" ht="58.5" customHeight="1"/>
    <row r="257" ht="58.5" customHeight="1"/>
    <row r="258" ht="58.5" customHeight="1"/>
    <row r="259" ht="58.5" customHeight="1"/>
    <row r="260" ht="58.5" customHeight="1"/>
    <row r="261" ht="58.5" customHeight="1"/>
    <row r="262" ht="58.5" customHeight="1"/>
    <row r="263" ht="58.5" customHeight="1"/>
    <row r="264" ht="58.5" customHeight="1"/>
    <row r="265" ht="58.5" customHeight="1"/>
    <row r="266" ht="58.5" customHeight="1"/>
    <row r="267" ht="58.5" customHeight="1"/>
    <row r="268" ht="58.5" customHeight="1"/>
    <row r="269" ht="58.5" customHeight="1"/>
    <row r="270" ht="58.5" customHeight="1"/>
    <row r="271" ht="58.5" customHeight="1"/>
    <row r="272" ht="58.5" customHeight="1"/>
    <row r="273" ht="58.5" customHeight="1"/>
    <row r="274" ht="58.5" customHeight="1"/>
    <row r="275" ht="58.5" customHeight="1"/>
    <row r="276" ht="58.5" customHeight="1"/>
    <row r="277" ht="58.5" customHeight="1"/>
    <row r="278" ht="58.5" customHeight="1"/>
    <row r="279" ht="58.5" customHeight="1"/>
    <row r="280" ht="58.5" customHeight="1"/>
    <row r="281" ht="58.5" customHeight="1"/>
    <row r="282" ht="58.5" customHeight="1"/>
    <row r="283" ht="58.5" customHeight="1"/>
    <row r="284" ht="58.5" customHeight="1"/>
    <row r="285" ht="58.5" customHeight="1"/>
    <row r="286" ht="58.5" customHeight="1"/>
    <row r="287" ht="58.5" customHeight="1"/>
    <row r="288" ht="58.5" customHeight="1"/>
    <row r="289" ht="58.5" customHeight="1"/>
    <row r="290" ht="58.5" customHeight="1"/>
    <row r="291" ht="58.5" customHeight="1"/>
    <row r="292" ht="58.5" customHeight="1"/>
    <row r="293" ht="58.5" customHeight="1"/>
    <row r="294" ht="58.5" customHeight="1"/>
    <row r="295" ht="58.5" customHeight="1"/>
    <row r="296" ht="58.5" customHeight="1"/>
    <row r="297" ht="58.5" customHeight="1"/>
    <row r="298" ht="58.5" customHeight="1"/>
    <row r="299" ht="58.5" customHeight="1"/>
    <row r="300" ht="58.5" customHeight="1"/>
    <row r="301" ht="58.5" customHeight="1"/>
    <row r="302" ht="58.5" customHeight="1"/>
    <row r="303" ht="58.5" customHeight="1"/>
    <row r="304" ht="58.5" customHeight="1"/>
    <row r="305" ht="58.5" customHeight="1"/>
    <row r="306" ht="58.5" customHeight="1"/>
    <row r="307" ht="58.5" customHeight="1"/>
    <row r="308" ht="58.5" customHeight="1"/>
    <row r="309" ht="58.5" customHeight="1"/>
    <row r="310" ht="58.5" customHeight="1"/>
    <row r="311" ht="58.5" customHeight="1"/>
    <row r="312" ht="58.5" customHeight="1"/>
    <row r="313" ht="58.5" customHeight="1"/>
    <row r="314" ht="58.5" customHeight="1"/>
    <row r="315" ht="58.5" customHeight="1"/>
    <row r="316" ht="58.5" customHeight="1"/>
    <row r="317" ht="58.5" customHeight="1"/>
    <row r="318" ht="58.5" customHeight="1"/>
    <row r="319" ht="58.5" customHeight="1"/>
    <row r="320" ht="58.5" customHeight="1"/>
    <row r="321" ht="58.5" customHeight="1"/>
    <row r="322" ht="58.5" customHeight="1"/>
    <row r="323" ht="58.5" customHeight="1"/>
    <row r="324" ht="58.5" customHeight="1"/>
    <row r="325" ht="58.5" customHeight="1"/>
    <row r="326" ht="58.5" customHeight="1"/>
    <row r="327" ht="58.5" customHeight="1"/>
    <row r="328" ht="58.5" customHeight="1"/>
    <row r="329" ht="58.5" customHeight="1"/>
    <row r="330" ht="58.5" customHeight="1"/>
    <row r="331" ht="58.5" customHeight="1"/>
    <row r="332" ht="58.5" customHeight="1"/>
    <row r="333" ht="58.5" customHeight="1"/>
    <row r="334" ht="58.5" customHeight="1"/>
    <row r="335" ht="58.5" customHeight="1"/>
    <row r="336" ht="58.5" customHeight="1"/>
    <row r="337" ht="58.5" customHeight="1"/>
    <row r="338" ht="58.5" customHeight="1"/>
    <row r="339" ht="58.5" customHeight="1"/>
    <row r="340" ht="58.5" customHeight="1"/>
    <row r="341" ht="58.5" customHeight="1"/>
    <row r="342" ht="58.5" customHeight="1"/>
    <row r="343" ht="58.5" customHeight="1"/>
    <row r="344" ht="58.5" customHeight="1"/>
    <row r="345" ht="58.5" customHeight="1"/>
    <row r="346" ht="58.5" customHeight="1"/>
    <row r="347" ht="58.5" customHeight="1"/>
    <row r="348" ht="58.5" customHeight="1"/>
    <row r="349" ht="58.5" customHeight="1"/>
    <row r="350" ht="58.5" customHeight="1"/>
    <row r="351" ht="58.5" customHeight="1"/>
    <row r="352" ht="58.5" customHeight="1"/>
    <row r="353" ht="58.5" customHeight="1"/>
    <row r="354" ht="58.5" customHeight="1"/>
    <row r="355" ht="58.5" customHeight="1"/>
    <row r="356" ht="58.5" customHeight="1"/>
    <row r="357" ht="58.5" customHeight="1"/>
    <row r="358" ht="58.5" customHeight="1"/>
    <row r="359" ht="58.5" customHeight="1"/>
    <row r="360" ht="58.5" customHeight="1"/>
    <row r="361" ht="58.5" customHeight="1"/>
    <row r="362" ht="58.5" customHeight="1"/>
    <row r="363" ht="58.5" customHeight="1"/>
    <row r="364" ht="58.5" customHeight="1"/>
    <row r="365" ht="58.5" customHeight="1"/>
    <row r="366" ht="58.5" customHeight="1"/>
    <row r="367" ht="58.5" customHeight="1"/>
    <row r="368" ht="58.5" customHeight="1"/>
    <row r="369" ht="58.5" customHeight="1"/>
    <row r="370" ht="58.5" customHeight="1"/>
    <row r="371" ht="58.5" customHeight="1"/>
    <row r="372" ht="58.5" customHeight="1"/>
    <row r="373" ht="58.5" customHeight="1"/>
    <row r="374" ht="58.5" customHeight="1"/>
    <row r="375" ht="58.5" customHeight="1"/>
    <row r="376" ht="58.5" customHeight="1"/>
    <row r="377" ht="58.5" customHeight="1"/>
    <row r="378" ht="58.5" customHeight="1"/>
    <row r="379" ht="58.5" customHeight="1"/>
    <row r="380" ht="58.5" customHeight="1"/>
    <row r="381" ht="58.5" customHeight="1"/>
    <row r="382" ht="58.5" customHeight="1"/>
    <row r="383" ht="58.5" customHeight="1"/>
    <row r="384" ht="58.5" customHeight="1"/>
    <row r="385" ht="58.5" customHeight="1"/>
    <row r="386" ht="58.5" customHeight="1"/>
    <row r="387" ht="58.5" customHeight="1"/>
    <row r="388" ht="58.5" customHeight="1"/>
    <row r="389" ht="58.5" customHeight="1"/>
    <row r="390" ht="58.5" customHeight="1"/>
    <row r="391" ht="58.5" customHeight="1"/>
    <row r="392" ht="58.5" customHeight="1"/>
    <row r="393" ht="58.5" customHeight="1"/>
    <row r="394" ht="58.5" customHeight="1"/>
    <row r="395" ht="58.5" customHeight="1"/>
    <row r="396" ht="58.5" customHeight="1"/>
    <row r="397" ht="58.5" customHeight="1"/>
    <row r="398" ht="58.5" customHeight="1"/>
    <row r="399" ht="58.5" customHeight="1"/>
    <row r="400" ht="58.5" customHeight="1"/>
    <row r="401" ht="58.5" customHeight="1"/>
    <row r="402" ht="58.5" customHeight="1"/>
    <row r="403" ht="58.5" customHeight="1"/>
    <row r="404" ht="58.5" customHeight="1"/>
    <row r="405" ht="58.5" customHeight="1"/>
    <row r="406" ht="58.5" customHeight="1"/>
    <row r="407" ht="58.5" customHeight="1"/>
    <row r="408" ht="58.5" customHeight="1"/>
    <row r="409" ht="58.5" customHeight="1"/>
    <row r="410" ht="58.5" customHeight="1"/>
    <row r="411" ht="58.5" customHeight="1"/>
    <row r="412" ht="58.5" customHeight="1"/>
    <row r="413" ht="58.5" customHeight="1"/>
    <row r="414" ht="58.5" customHeight="1"/>
    <row r="415" ht="58.5" customHeight="1"/>
    <row r="416" ht="58.5" customHeight="1"/>
    <row r="417" ht="58.5" customHeight="1"/>
    <row r="418" ht="58.5" customHeight="1"/>
    <row r="419" ht="58.5" customHeight="1"/>
    <row r="420" ht="58.5" customHeight="1"/>
    <row r="421" ht="58.5" customHeight="1"/>
    <row r="422" ht="58.5" customHeight="1"/>
    <row r="423" ht="58.5" customHeight="1"/>
    <row r="424" ht="58.5" customHeight="1"/>
    <row r="425" ht="58.5" customHeight="1"/>
    <row r="426" ht="58.5" customHeight="1"/>
    <row r="427" ht="58.5" customHeight="1"/>
    <row r="428" ht="58.5" customHeight="1"/>
    <row r="429" ht="58.5" customHeight="1"/>
    <row r="430" ht="58.5" customHeight="1"/>
    <row r="431" ht="58.5" customHeight="1"/>
    <row r="432" ht="58.5" customHeight="1"/>
    <row r="433" ht="58.5" customHeight="1"/>
    <row r="434" ht="58.5" customHeight="1"/>
    <row r="435" ht="58.5" customHeight="1"/>
    <row r="436" ht="58.5" customHeight="1"/>
    <row r="437" ht="58.5" customHeight="1"/>
    <row r="438" ht="58.5" customHeight="1"/>
    <row r="439" ht="58.5" customHeight="1"/>
    <row r="440" ht="58.5" customHeight="1"/>
    <row r="441" ht="58.5" customHeight="1"/>
    <row r="442" ht="58.5" customHeight="1"/>
    <row r="443" ht="58.5" customHeight="1"/>
    <row r="444" ht="58.5" customHeight="1"/>
    <row r="445" ht="58.5" customHeight="1"/>
    <row r="446" ht="58.5" customHeight="1"/>
    <row r="447" ht="58.5" customHeight="1"/>
    <row r="448" ht="58.5" customHeight="1"/>
    <row r="449" ht="58.5" customHeight="1"/>
    <row r="450" ht="58.5" customHeight="1"/>
    <row r="451" ht="58.5" customHeight="1"/>
    <row r="452" ht="58.5" customHeight="1"/>
    <row r="453" ht="58.5" customHeight="1"/>
    <row r="454" ht="58.5" customHeight="1"/>
    <row r="455" ht="58.5" customHeight="1"/>
    <row r="456" ht="58.5" customHeight="1"/>
    <row r="457" ht="58.5" customHeight="1"/>
    <row r="458" ht="58.5" customHeight="1"/>
    <row r="459" ht="58.5" customHeight="1"/>
    <row r="460" ht="58.5" customHeight="1"/>
    <row r="461" ht="58.5" customHeight="1"/>
    <row r="462" ht="58.5" customHeight="1"/>
    <row r="463" ht="58.5" customHeight="1"/>
    <row r="464" ht="58.5" customHeight="1"/>
    <row r="465" ht="58.5" customHeight="1"/>
    <row r="466" ht="58.5" customHeight="1"/>
    <row r="467" ht="58.5" customHeight="1"/>
    <row r="468" ht="58.5" customHeight="1"/>
    <row r="469" ht="58.5" customHeight="1"/>
    <row r="470" ht="58.5" customHeight="1"/>
    <row r="471" ht="58.5" customHeight="1"/>
    <row r="472" ht="58.5" customHeight="1"/>
    <row r="473" ht="58.5" customHeight="1"/>
    <row r="474" ht="58.5" customHeight="1"/>
    <row r="475" ht="58.5" customHeight="1"/>
    <row r="476" ht="58.5" customHeight="1"/>
    <row r="477" ht="58.5" customHeight="1"/>
    <row r="478" ht="58.5" customHeight="1"/>
    <row r="479" ht="58.5" customHeight="1"/>
    <row r="480" ht="58.5" customHeight="1"/>
    <row r="481" ht="58.5" customHeight="1"/>
    <row r="482" ht="58.5" customHeight="1"/>
    <row r="483" ht="58.5" customHeight="1"/>
    <row r="484" ht="58.5" customHeight="1"/>
    <row r="485" ht="58.5" customHeight="1"/>
    <row r="486" ht="58.5" customHeight="1"/>
    <row r="487" ht="58.5" customHeight="1"/>
    <row r="488" ht="58.5" customHeight="1"/>
    <row r="489" ht="58.5" customHeight="1"/>
    <row r="490" ht="58.5" customHeight="1"/>
    <row r="491" ht="58.5" customHeight="1"/>
    <row r="492" ht="58.5" customHeight="1"/>
    <row r="493" ht="58.5" customHeight="1"/>
    <row r="494" ht="58.5" customHeight="1"/>
    <row r="495" ht="58.5" customHeight="1"/>
    <row r="496" ht="58.5" customHeight="1"/>
    <row r="497" ht="58.5" customHeight="1"/>
    <row r="498" ht="58.5" customHeight="1"/>
    <row r="499" ht="58.5" customHeight="1"/>
    <row r="500" ht="58.5" customHeight="1"/>
    <row r="501" ht="58.5" customHeight="1"/>
    <row r="502" ht="58.5" customHeight="1"/>
    <row r="503" ht="58.5" customHeight="1"/>
    <row r="504" ht="58.5" customHeight="1"/>
    <row r="505" ht="58.5" customHeight="1"/>
    <row r="506" ht="58.5" customHeight="1"/>
    <row r="507" ht="58.5" customHeight="1"/>
    <row r="508" ht="58.5" customHeight="1"/>
    <row r="509" ht="58.5" customHeight="1"/>
    <row r="510" ht="58.5" customHeight="1"/>
    <row r="511" ht="58.5" customHeight="1"/>
    <row r="512" ht="58.5" customHeight="1"/>
    <row r="513" ht="58.5" customHeight="1"/>
    <row r="514" ht="58.5" customHeight="1"/>
    <row r="515" ht="58.5" customHeight="1"/>
    <row r="516" ht="58.5" customHeight="1"/>
    <row r="517" ht="58.5" customHeight="1"/>
    <row r="518" ht="58.5" customHeight="1"/>
    <row r="519" ht="58.5" customHeight="1"/>
    <row r="520" ht="58.5" customHeight="1"/>
    <row r="521" ht="58.5" customHeight="1"/>
    <row r="522" ht="58.5" customHeight="1"/>
    <row r="523" ht="58.5" customHeight="1"/>
    <row r="524" ht="58.5" customHeight="1"/>
    <row r="525" ht="58.5" customHeight="1"/>
    <row r="526" ht="58.5" customHeight="1"/>
    <row r="527" ht="58.5" customHeight="1"/>
    <row r="528" ht="58.5" customHeight="1"/>
    <row r="529" ht="58.5" customHeight="1"/>
    <row r="530" ht="58.5" customHeight="1"/>
    <row r="531" ht="58.5" customHeight="1"/>
    <row r="532" ht="58.5" customHeight="1"/>
    <row r="533" ht="58.5" customHeight="1"/>
    <row r="534" ht="58.5" customHeight="1"/>
    <row r="535" ht="58.5" customHeight="1"/>
    <row r="536" ht="58.5" customHeight="1"/>
    <row r="537" ht="58.5" customHeight="1"/>
    <row r="538" ht="58.5" customHeight="1"/>
    <row r="539" ht="58.5" customHeight="1"/>
    <row r="540" ht="58.5" customHeight="1"/>
    <row r="541" ht="58.5" customHeight="1"/>
    <row r="542" ht="58.5" customHeight="1"/>
    <row r="543" ht="58.5" customHeight="1"/>
    <row r="544" ht="58.5" customHeight="1"/>
    <row r="545" ht="58.5" customHeight="1"/>
    <row r="546" ht="58.5" customHeight="1"/>
    <row r="547" ht="58.5" customHeight="1"/>
    <row r="548" ht="58.5" customHeight="1"/>
    <row r="549" ht="58.5" customHeight="1"/>
    <row r="550" ht="58.5" customHeight="1"/>
    <row r="551" ht="58.5" customHeight="1"/>
    <row r="552" ht="58.5" customHeight="1"/>
    <row r="553" ht="58.5" customHeight="1"/>
    <row r="554" ht="58.5" customHeight="1"/>
    <row r="555" ht="58.5" customHeight="1"/>
    <row r="556" ht="58.5" customHeight="1"/>
    <row r="557" ht="58.5" customHeight="1"/>
    <row r="558" ht="58.5" customHeight="1"/>
    <row r="559" ht="58.5" customHeight="1"/>
    <row r="560" ht="58.5" customHeight="1"/>
    <row r="561" ht="58.5" customHeight="1"/>
    <row r="562" ht="58.5" customHeight="1"/>
    <row r="563" ht="58.5" customHeight="1"/>
    <row r="564" ht="58.5" customHeight="1"/>
    <row r="565" ht="58.5" customHeight="1"/>
    <row r="566" ht="58.5" customHeight="1"/>
    <row r="567" ht="58.5" customHeight="1"/>
    <row r="568" ht="58.5" customHeight="1"/>
    <row r="569" ht="58.5" customHeight="1"/>
    <row r="570" ht="58.5" customHeight="1"/>
    <row r="571" ht="58.5" customHeight="1"/>
    <row r="572" ht="58.5" customHeight="1"/>
    <row r="573" ht="58.5" customHeight="1"/>
    <row r="574" ht="58.5" customHeight="1"/>
    <row r="575" ht="58.5" customHeight="1"/>
    <row r="576" ht="58.5" customHeight="1"/>
    <row r="577" ht="58.5" customHeight="1"/>
    <row r="578" ht="58.5" customHeight="1"/>
    <row r="579" ht="58.5" customHeight="1"/>
    <row r="580" ht="58.5" customHeight="1"/>
    <row r="581" ht="58.5" customHeight="1"/>
    <row r="582" ht="58.5" customHeight="1"/>
    <row r="583" ht="58.5" customHeight="1"/>
    <row r="584" ht="58.5" customHeight="1"/>
    <row r="585" ht="58.5" customHeight="1"/>
    <row r="586" ht="58.5" customHeight="1"/>
    <row r="587" ht="58.5" customHeight="1"/>
    <row r="588" ht="58.5" customHeight="1"/>
    <row r="589" ht="58.5" customHeight="1"/>
    <row r="590" ht="58.5" customHeight="1"/>
    <row r="591" ht="58.5" customHeight="1"/>
    <row r="592" ht="58.5" customHeight="1"/>
    <row r="593" ht="58.5" customHeight="1"/>
    <row r="594" ht="58.5" customHeight="1"/>
    <row r="595" ht="58.5" customHeight="1"/>
    <row r="596" ht="58.5" customHeight="1"/>
    <row r="597" ht="58.5" customHeight="1"/>
    <row r="598" ht="58.5" customHeight="1"/>
    <row r="599" ht="58.5" customHeight="1"/>
    <row r="600" ht="58.5" customHeight="1"/>
    <row r="601" ht="58.5" customHeight="1"/>
    <row r="602" ht="58.5" customHeight="1"/>
    <row r="603" ht="58.5" customHeight="1"/>
    <row r="604" ht="58.5" customHeight="1"/>
    <row r="605" ht="58.5" customHeight="1"/>
    <row r="606" ht="58.5" customHeight="1"/>
    <row r="607" ht="58.5" customHeight="1"/>
    <row r="608" ht="58.5" customHeight="1"/>
    <row r="609" ht="58.5" customHeight="1"/>
    <row r="610" ht="58.5" customHeight="1"/>
    <row r="611" ht="58.5" customHeight="1"/>
    <row r="612" ht="58.5" customHeight="1"/>
    <row r="613" ht="58.5" customHeight="1"/>
    <row r="614" ht="58.5" customHeight="1"/>
    <row r="615" ht="58.5" customHeight="1"/>
    <row r="616" ht="58.5" customHeight="1"/>
    <row r="617" ht="58.5" customHeight="1"/>
    <row r="618" ht="58.5" customHeight="1"/>
    <row r="619" ht="58.5" customHeight="1"/>
    <row r="620" ht="58.5" customHeight="1"/>
    <row r="621" ht="58.5" customHeight="1"/>
    <row r="622" ht="58.5" customHeight="1"/>
    <row r="623" ht="58.5" customHeight="1"/>
    <row r="624" ht="58.5" customHeight="1"/>
    <row r="625" ht="58.5" customHeight="1"/>
    <row r="626" ht="58.5" customHeight="1"/>
    <row r="627" ht="58.5" customHeight="1"/>
    <row r="628" ht="58.5" customHeight="1"/>
    <row r="629" ht="58.5" customHeight="1"/>
    <row r="630" ht="58.5" customHeight="1"/>
    <row r="631" ht="58.5" customHeight="1"/>
    <row r="632" ht="58.5" customHeight="1"/>
    <row r="633" ht="58.5" customHeight="1"/>
    <row r="634" ht="58.5" customHeight="1"/>
    <row r="635" ht="58.5" customHeight="1"/>
    <row r="636" ht="58.5" customHeight="1"/>
    <row r="637" ht="58.5" customHeight="1"/>
    <row r="638" ht="58.5" customHeight="1"/>
    <row r="639" ht="58.5" customHeight="1"/>
    <row r="640" ht="58.5" customHeight="1"/>
    <row r="641" ht="58.5" customHeight="1"/>
    <row r="642" ht="58.5" customHeight="1"/>
    <row r="643" ht="58.5" customHeight="1"/>
    <row r="644" ht="58.5" customHeight="1"/>
    <row r="645" ht="58.5" customHeight="1"/>
    <row r="646" ht="58.5" customHeight="1"/>
    <row r="647" ht="58.5" customHeight="1"/>
    <row r="648" ht="58.5" customHeight="1"/>
    <row r="649" ht="58.5" customHeight="1"/>
    <row r="650" ht="58.5" customHeight="1"/>
    <row r="651" ht="58.5" customHeight="1"/>
    <row r="652" ht="58.5" customHeight="1"/>
    <row r="653" ht="58.5" customHeight="1"/>
    <row r="654" ht="58.5" customHeight="1"/>
    <row r="655" ht="58.5" customHeight="1"/>
    <row r="656" ht="58.5" customHeight="1"/>
    <row r="657" ht="58.5" customHeight="1"/>
    <row r="658" ht="58.5" customHeight="1"/>
    <row r="659" ht="58.5" customHeight="1"/>
    <row r="660" ht="58.5" customHeight="1"/>
    <row r="661" ht="58.5" customHeight="1"/>
    <row r="662" ht="58.5" customHeight="1"/>
    <row r="663" ht="58.5" customHeight="1"/>
    <row r="664" ht="58.5" customHeight="1"/>
    <row r="665" ht="58.5" customHeight="1"/>
    <row r="666" ht="58.5" customHeight="1"/>
    <row r="667" ht="58.5" customHeight="1"/>
    <row r="668" ht="58.5" customHeight="1"/>
    <row r="669" ht="58.5" customHeight="1"/>
    <row r="670" ht="58.5" customHeight="1"/>
    <row r="671" ht="58.5" customHeight="1"/>
    <row r="672" ht="58.5" customHeight="1"/>
    <row r="673" ht="58.5" customHeight="1"/>
    <row r="674" ht="58.5" customHeight="1"/>
    <row r="675" ht="58.5" customHeight="1"/>
    <row r="676" ht="58.5" customHeight="1"/>
    <row r="677" ht="58.5" customHeight="1"/>
    <row r="678" ht="58.5" customHeight="1"/>
    <row r="679" ht="58.5" customHeight="1"/>
    <row r="680" ht="58.5" customHeight="1"/>
    <row r="681" ht="58.5" customHeight="1"/>
    <row r="682" ht="58.5" customHeight="1"/>
    <row r="683" ht="58.5" customHeight="1"/>
    <row r="684" ht="58.5" customHeight="1"/>
    <row r="685" ht="58.5" customHeight="1"/>
    <row r="686" ht="58.5" customHeight="1"/>
    <row r="687" ht="58.5" customHeight="1"/>
    <row r="688" ht="58.5" customHeight="1"/>
    <row r="689" ht="58.5" customHeight="1"/>
    <row r="690" ht="58.5" customHeight="1"/>
    <row r="691" ht="58.5" customHeight="1"/>
    <row r="692" ht="58.5" customHeight="1"/>
    <row r="693" ht="58.5" customHeight="1"/>
    <row r="694" ht="58.5" customHeight="1"/>
    <row r="695" ht="58.5" customHeight="1"/>
    <row r="696" ht="58.5" customHeight="1"/>
    <row r="697" ht="58.5" customHeight="1"/>
    <row r="698" ht="58.5" customHeight="1"/>
    <row r="699" ht="58.5" customHeight="1"/>
    <row r="700" ht="58.5" customHeight="1"/>
    <row r="701" ht="58.5" customHeight="1"/>
    <row r="702" ht="58.5" customHeight="1"/>
    <row r="703" ht="58.5" customHeight="1"/>
    <row r="704" ht="58.5" customHeight="1"/>
    <row r="705" ht="58.5" customHeight="1"/>
    <row r="706" ht="58.5" customHeight="1"/>
    <row r="707" ht="58.5" customHeight="1"/>
    <row r="708" ht="58.5" customHeight="1"/>
    <row r="709" ht="58.5" customHeight="1"/>
    <row r="710" ht="58.5" customHeight="1"/>
    <row r="711" ht="58.5" customHeight="1"/>
    <row r="712" ht="58.5" customHeight="1"/>
    <row r="713" ht="58.5" customHeight="1"/>
    <row r="714" ht="58.5" customHeight="1"/>
    <row r="715" ht="58.5" customHeight="1"/>
    <row r="716" ht="58.5" customHeight="1"/>
    <row r="717" ht="58.5" customHeight="1"/>
    <row r="718" ht="58.5" customHeight="1"/>
    <row r="719" ht="58.5" customHeight="1"/>
    <row r="720" ht="58.5" customHeight="1"/>
    <row r="721" ht="58.5" customHeight="1"/>
    <row r="722" ht="58.5" customHeight="1"/>
    <row r="723" ht="58.5" customHeight="1"/>
    <row r="724" ht="58.5" customHeight="1"/>
    <row r="725" ht="58.5" customHeight="1"/>
    <row r="726" ht="58.5" customHeight="1"/>
    <row r="727" ht="58.5" customHeight="1"/>
    <row r="728" ht="58.5" customHeight="1"/>
    <row r="729" ht="58.5" customHeight="1"/>
    <row r="730" ht="58.5" customHeight="1"/>
    <row r="731" ht="58.5" customHeight="1"/>
    <row r="732" ht="58.5" customHeight="1"/>
    <row r="733" ht="58.5" customHeight="1"/>
    <row r="734" ht="58.5" customHeight="1"/>
    <row r="735" ht="58.5" customHeight="1"/>
    <row r="736" ht="58.5" customHeight="1"/>
    <row r="737" ht="58.5" customHeight="1"/>
    <row r="738" ht="58.5" customHeight="1"/>
    <row r="739" ht="58.5" customHeight="1"/>
    <row r="740" ht="58.5" customHeight="1"/>
    <row r="741" ht="58.5" customHeight="1"/>
    <row r="742" ht="58.5" customHeight="1"/>
    <row r="743" ht="58.5" customHeight="1"/>
    <row r="744" ht="58.5" customHeight="1"/>
    <row r="745" ht="58.5" customHeight="1"/>
    <row r="746" ht="58.5" customHeight="1"/>
    <row r="747" ht="58.5" customHeight="1"/>
    <row r="748" ht="58.5" customHeight="1"/>
    <row r="749" ht="58.5" customHeight="1"/>
    <row r="750" ht="58.5" customHeight="1"/>
    <row r="751" ht="58.5" customHeight="1"/>
    <row r="752" ht="58.5" customHeight="1"/>
    <row r="753" ht="58.5" customHeight="1"/>
    <row r="754" ht="58.5" customHeight="1"/>
    <row r="755" ht="58.5" customHeight="1"/>
    <row r="756" ht="58.5" customHeight="1"/>
    <row r="757" ht="58.5" customHeight="1"/>
    <row r="758" ht="58.5" customHeight="1"/>
    <row r="759" ht="58.5" customHeight="1"/>
    <row r="760" ht="58.5" customHeight="1"/>
    <row r="761" ht="58.5" customHeight="1"/>
    <row r="762" ht="58.5" customHeight="1"/>
    <row r="763" ht="58.5" customHeight="1"/>
    <row r="764" ht="58.5" customHeight="1"/>
    <row r="765" ht="58.5" customHeight="1"/>
    <row r="766" ht="58.5" customHeight="1"/>
    <row r="767" ht="58.5" customHeight="1"/>
    <row r="768" ht="58.5" customHeight="1"/>
    <row r="769" ht="58.5" customHeight="1"/>
    <row r="770" ht="58.5" customHeight="1"/>
    <row r="771" ht="58.5" customHeight="1"/>
    <row r="772" ht="58.5" customHeight="1"/>
    <row r="773" ht="58.5" customHeight="1"/>
    <row r="774" ht="58.5" customHeight="1"/>
    <row r="775" ht="58.5" customHeight="1"/>
    <row r="776" ht="58.5" customHeight="1"/>
    <row r="777" ht="58.5" customHeight="1"/>
    <row r="778" ht="58.5" customHeight="1"/>
    <row r="779" ht="58.5" customHeight="1"/>
    <row r="780" ht="58.5" customHeight="1"/>
    <row r="781" ht="58.5" customHeight="1"/>
    <row r="782" ht="58.5" customHeight="1"/>
    <row r="783" ht="58.5" customHeight="1"/>
    <row r="784" ht="58.5" customHeight="1"/>
    <row r="785" ht="58.5" customHeight="1"/>
    <row r="786" ht="58.5" customHeight="1"/>
    <row r="787" ht="58.5" customHeight="1"/>
    <row r="788" ht="58.5" customHeight="1"/>
    <row r="789" ht="58.5" customHeight="1"/>
    <row r="790" ht="58.5" customHeight="1"/>
    <row r="791" ht="58.5" customHeight="1"/>
    <row r="792" ht="58.5" customHeight="1"/>
    <row r="793" ht="58.5" customHeight="1"/>
    <row r="794" ht="58.5" customHeight="1"/>
    <row r="795" ht="58.5" customHeight="1"/>
    <row r="796" ht="58.5" customHeight="1"/>
    <row r="797" ht="58.5" customHeight="1"/>
    <row r="798" ht="58.5" customHeight="1"/>
    <row r="799" ht="58.5" customHeight="1"/>
    <row r="800" ht="58.5" customHeight="1"/>
    <row r="801" ht="58.5" customHeight="1"/>
    <row r="802" ht="58.5" customHeight="1"/>
    <row r="803" ht="58.5" customHeight="1"/>
    <row r="804" ht="58.5" customHeight="1"/>
    <row r="805" ht="58.5" customHeight="1"/>
    <row r="806" ht="58.5" customHeight="1"/>
    <row r="807" ht="58.5" customHeight="1"/>
    <row r="808" ht="58.5" customHeight="1"/>
    <row r="809" ht="58.5" customHeight="1"/>
    <row r="810" ht="58.5" customHeight="1"/>
    <row r="811" ht="58.5" customHeight="1"/>
    <row r="812" ht="58.5" customHeight="1"/>
    <row r="813" ht="58.5" customHeight="1"/>
    <row r="814" ht="58.5" customHeight="1"/>
    <row r="815" ht="58.5" customHeight="1"/>
    <row r="816" ht="58.5" customHeight="1"/>
    <row r="817" ht="58.5" customHeight="1"/>
    <row r="818" ht="58.5" customHeight="1"/>
    <row r="819" ht="58.5" customHeight="1"/>
    <row r="820" ht="58.5" customHeight="1"/>
    <row r="821" ht="58.5" customHeight="1"/>
    <row r="822" ht="58.5" customHeight="1"/>
    <row r="823" ht="58.5" customHeight="1"/>
    <row r="824" ht="58.5" customHeight="1"/>
    <row r="825" ht="58.5" customHeight="1"/>
    <row r="826" ht="58.5" customHeight="1"/>
    <row r="827" ht="58.5" customHeight="1"/>
    <row r="828" ht="58.5" customHeight="1"/>
    <row r="829" ht="58.5" customHeight="1"/>
    <row r="830" ht="58.5" customHeight="1"/>
    <row r="831" ht="58.5" customHeight="1"/>
    <row r="832" ht="58.5" customHeight="1"/>
    <row r="833" ht="58.5" customHeight="1"/>
    <row r="834" ht="58.5" customHeight="1"/>
    <row r="835" ht="58.5" customHeight="1"/>
    <row r="836" ht="58.5" customHeight="1"/>
    <row r="837" ht="58.5" customHeight="1"/>
    <row r="838" ht="58.5" customHeight="1"/>
    <row r="839" ht="58.5" customHeight="1"/>
    <row r="840" ht="58.5" customHeight="1"/>
    <row r="841" ht="58.5" customHeight="1"/>
    <row r="842" ht="58.5" customHeight="1"/>
    <row r="843" ht="58.5" customHeight="1"/>
    <row r="844" ht="58.5" customHeight="1"/>
    <row r="845" ht="58.5" customHeight="1"/>
    <row r="846" ht="58.5" customHeight="1"/>
    <row r="847" ht="58.5" customHeight="1"/>
    <row r="848" ht="58.5" customHeight="1"/>
    <row r="849" ht="58.5" customHeight="1"/>
    <row r="850" ht="58.5" customHeight="1"/>
    <row r="851" ht="58.5" customHeight="1"/>
    <row r="852" ht="58.5" customHeight="1"/>
    <row r="853" ht="58.5" customHeight="1"/>
    <row r="854" ht="58.5" customHeight="1"/>
    <row r="855" ht="58.5" customHeight="1"/>
    <row r="856" ht="58.5" customHeight="1"/>
    <row r="857" ht="58.5" customHeight="1"/>
    <row r="858" ht="58.5" customHeight="1"/>
    <row r="859" ht="58.5" customHeight="1"/>
    <row r="860" ht="58.5" customHeight="1"/>
    <row r="861" ht="58.5" customHeight="1"/>
    <row r="862" ht="58.5" customHeight="1"/>
    <row r="863" ht="58.5" customHeight="1"/>
    <row r="864" ht="58.5" customHeight="1"/>
    <row r="865" ht="58.5" customHeight="1"/>
    <row r="866" ht="58.5" customHeight="1"/>
    <row r="867" ht="58.5" customHeight="1"/>
    <row r="868" ht="58.5" customHeight="1"/>
    <row r="869" ht="58.5" customHeight="1"/>
    <row r="870" ht="58.5" customHeight="1"/>
    <row r="871" ht="58.5" customHeight="1"/>
    <row r="872" ht="58.5" customHeight="1"/>
    <row r="873" ht="58.5" customHeight="1"/>
    <row r="874" ht="58.5" customHeight="1"/>
    <row r="875" ht="58.5" customHeight="1"/>
    <row r="876" ht="58.5" customHeight="1"/>
    <row r="877" ht="58.5" customHeight="1"/>
    <row r="878" ht="58.5" customHeight="1"/>
    <row r="879" ht="58.5" customHeight="1"/>
    <row r="880" ht="58.5" customHeight="1"/>
    <row r="881" ht="58.5" customHeight="1"/>
    <row r="882" ht="58.5" customHeight="1"/>
    <row r="883" ht="58.5" customHeight="1"/>
    <row r="884" ht="58.5" customHeight="1"/>
    <row r="885" ht="58.5" customHeight="1"/>
    <row r="886" ht="58.5" customHeight="1"/>
    <row r="887" ht="58.5" customHeight="1"/>
    <row r="888" ht="58.5" customHeight="1"/>
    <row r="889" ht="58.5" customHeight="1"/>
    <row r="890" ht="58.5" customHeight="1"/>
    <row r="891" ht="58.5" customHeight="1"/>
    <row r="892" ht="58.5" customHeight="1"/>
    <row r="893" ht="58.5" customHeight="1"/>
    <row r="894" ht="58.5" customHeight="1"/>
    <row r="895" ht="58.5" customHeight="1"/>
    <row r="896" ht="58.5" customHeight="1"/>
    <row r="897" ht="58.5" customHeight="1"/>
    <row r="898" ht="58.5" customHeight="1"/>
    <row r="899" ht="58.5" customHeight="1"/>
    <row r="900" ht="58.5" customHeight="1"/>
    <row r="901" ht="58.5" customHeight="1"/>
    <row r="902" ht="58.5" customHeight="1"/>
    <row r="903" ht="58.5" customHeight="1"/>
    <row r="904" ht="58.5" customHeight="1"/>
    <row r="905" ht="58.5" customHeight="1"/>
    <row r="906" ht="58.5" customHeight="1"/>
    <row r="907" ht="58.5" customHeight="1"/>
    <row r="908" ht="58.5" customHeight="1"/>
    <row r="909" ht="58.5" customHeight="1"/>
    <row r="910" ht="58.5" customHeight="1"/>
    <row r="911" ht="58.5" customHeight="1"/>
    <row r="912" ht="58.5" customHeight="1"/>
    <row r="913" ht="58.5" customHeight="1"/>
    <row r="914" ht="58.5" customHeight="1"/>
    <row r="915" ht="58.5" customHeight="1"/>
    <row r="916" ht="58.5" customHeight="1"/>
    <row r="917" ht="58.5" customHeight="1"/>
    <row r="918" ht="58.5" customHeight="1"/>
    <row r="919" ht="58.5" customHeight="1"/>
    <row r="920" ht="58.5" customHeight="1"/>
    <row r="921" ht="58.5" customHeight="1"/>
    <row r="922" ht="58.5" customHeight="1"/>
    <row r="923" ht="58.5" customHeight="1"/>
    <row r="924" ht="58.5" customHeight="1"/>
    <row r="925" ht="58.5" customHeight="1"/>
    <row r="926" ht="58.5" customHeight="1"/>
    <row r="927" ht="58.5" customHeight="1"/>
    <row r="928" ht="58.5" customHeight="1"/>
    <row r="929" ht="58.5" customHeight="1"/>
    <row r="930" ht="58.5" customHeight="1"/>
    <row r="931" ht="58.5" customHeight="1"/>
    <row r="932" ht="58.5" customHeight="1"/>
    <row r="933" ht="58.5" customHeight="1"/>
    <row r="934" ht="58.5" customHeight="1"/>
    <row r="935" ht="58.5" customHeight="1"/>
    <row r="936" ht="58.5" customHeight="1"/>
    <row r="937" ht="58.5" customHeight="1"/>
    <row r="938" ht="58.5" customHeight="1"/>
    <row r="939" ht="58.5" customHeight="1"/>
    <row r="940" ht="58.5" customHeight="1"/>
    <row r="941" ht="58.5" customHeight="1"/>
    <row r="942" ht="58.5" customHeight="1"/>
    <row r="943" ht="58.5" customHeight="1"/>
    <row r="944" ht="58.5" customHeight="1"/>
    <row r="945" ht="58.5" customHeight="1"/>
    <row r="946" ht="58.5" customHeight="1"/>
    <row r="947" ht="58.5" customHeight="1"/>
    <row r="948" ht="58.5" customHeight="1"/>
    <row r="949" ht="58.5" customHeight="1"/>
    <row r="950" ht="58.5" customHeight="1"/>
    <row r="951" ht="58.5" customHeight="1"/>
    <row r="952" ht="58.5" customHeight="1"/>
    <row r="953" ht="58.5" customHeight="1"/>
    <row r="954" ht="58.5" customHeight="1"/>
    <row r="955" ht="58.5" customHeight="1"/>
    <row r="956" ht="58.5" customHeight="1"/>
    <row r="957" ht="58.5" customHeight="1"/>
    <row r="958" ht="58.5" customHeight="1"/>
    <row r="959" ht="58.5" customHeight="1"/>
    <row r="960" ht="58.5" customHeight="1"/>
    <row r="961" ht="58.5" customHeight="1"/>
    <row r="962" ht="58.5" customHeight="1"/>
    <row r="963" ht="58.5" customHeight="1"/>
    <row r="964" ht="58.5" customHeight="1"/>
    <row r="965" ht="58.5" customHeight="1"/>
    <row r="966" ht="58.5" customHeight="1"/>
    <row r="967" ht="58.5" customHeight="1"/>
    <row r="968" ht="58.5" customHeight="1"/>
    <row r="969" ht="58.5" customHeight="1"/>
    <row r="970" ht="58.5" customHeight="1"/>
    <row r="971" ht="58.5" customHeight="1"/>
    <row r="972" ht="58.5" customHeight="1"/>
    <row r="973" ht="58.5" customHeight="1"/>
    <row r="974" ht="58.5" customHeight="1"/>
    <row r="975" ht="58.5" customHeight="1"/>
    <row r="976" ht="58.5" customHeight="1"/>
    <row r="977" ht="58.5" customHeight="1"/>
    <row r="978" ht="58.5" customHeight="1"/>
    <row r="979" ht="58.5" customHeight="1"/>
    <row r="980" ht="58.5" customHeight="1"/>
    <row r="981" ht="58.5" customHeight="1"/>
    <row r="982" ht="58.5" customHeight="1"/>
    <row r="983" ht="58.5" customHeight="1"/>
    <row r="984" ht="58.5" customHeight="1"/>
    <row r="985" ht="58.5" customHeight="1"/>
    <row r="986" ht="58.5" customHeight="1"/>
    <row r="987" ht="58.5" customHeight="1"/>
    <row r="988" ht="58.5" customHeight="1"/>
    <row r="989" ht="58.5" customHeight="1"/>
    <row r="990" ht="58.5" customHeight="1"/>
    <row r="991" ht="58.5" customHeight="1"/>
    <row r="992" ht="58.5" customHeight="1"/>
    <row r="993" ht="58.5" customHeight="1"/>
    <row r="994" ht="58.5" customHeight="1"/>
    <row r="995" ht="58.5" customHeight="1"/>
    <row r="996" ht="58.5" customHeight="1"/>
    <row r="997" ht="58.5" customHeight="1"/>
    <row r="998" ht="58.5" customHeight="1"/>
    <row r="999" ht="58.5" customHeight="1"/>
    <row r="1000" ht="58.5" customHeight="1"/>
    <row r="1001" ht="58.5" customHeight="1"/>
    <row r="1002" ht="58.5" customHeight="1"/>
    <row r="1003" ht="58.5" customHeight="1"/>
    <row r="1004" ht="58.5" customHeight="1"/>
  </sheetData>
  <autoFilter ref="$A$1:$H$1004">
    <sortState ref="A1:H1004">
      <sortCondition ref="E1:E1004"/>
    </sortState>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51.88"/>
    <col customWidth="1" min="3" max="3" width="14.25"/>
    <col customWidth="1" min="4" max="4" width="79.25"/>
    <col customWidth="1" min="5" max="5" width="9.63"/>
    <col customWidth="1" min="6" max="6" width="7.5"/>
    <col customWidth="1" min="7" max="7" width="5.75"/>
    <col customWidth="1" min="8" max="8" width="47.75"/>
  </cols>
  <sheetData>
    <row r="1">
      <c r="A1" s="94" t="s">
        <v>803</v>
      </c>
      <c r="B1" s="95" t="s">
        <v>805</v>
      </c>
      <c r="C1" s="94" t="s">
        <v>808</v>
      </c>
      <c r="D1" s="95" t="s">
        <v>809</v>
      </c>
      <c r="E1" s="94" t="s">
        <v>811</v>
      </c>
      <c r="F1" s="94" t="s">
        <v>813</v>
      </c>
      <c r="G1" s="94" t="s">
        <v>587</v>
      </c>
      <c r="H1" s="95" t="s">
        <v>815</v>
      </c>
    </row>
    <row r="2">
      <c r="A2" s="96" t="s">
        <v>817</v>
      </c>
      <c r="B2" s="97" t="s">
        <v>821</v>
      </c>
      <c r="C2" s="98" t="s">
        <v>822</v>
      </c>
      <c r="D2" s="99" t="s">
        <v>825</v>
      </c>
      <c r="E2" s="100" t="s">
        <v>829</v>
      </c>
      <c r="F2" s="101" t="s">
        <v>832</v>
      </c>
      <c r="G2" s="102" t="s">
        <v>833</v>
      </c>
      <c r="H2" s="103" t="s">
        <v>835</v>
      </c>
    </row>
    <row r="3">
      <c r="A3" s="104"/>
      <c r="B3" s="104"/>
      <c r="C3" s="104"/>
      <c r="D3" s="99" t="s">
        <v>838</v>
      </c>
      <c r="E3" s="100" t="s">
        <v>829</v>
      </c>
      <c r="F3" s="101" t="s">
        <v>832</v>
      </c>
      <c r="G3" s="102" t="s">
        <v>839</v>
      </c>
      <c r="H3" s="103"/>
    </row>
    <row r="4">
      <c r="A4" s="104"/>
      <c r="B4" s="104"/>
      <c r="C4" s="104"/>
      <c r="D4" s="99" t="s">
        <v>841</v>
      </c>
      <c r="E4" s="100" t="s">
        <v>842</v>
      </c>
      <c r="F4" s="105" t="s">
        <v>843</v>
      </c>
      <c r="G4" s="102" t="s">
        <v>846</v>
      </c>
      <c r="H4" s="103" t="s">
        <v>847</v>
      </c>
    </row>
    <row r="5">
      <c r="A5" s="104"/>
      <c r="B5" s="104"/>
      <c r="C5" s="104"/>
      <c r="D5" s="99" t="s">
        <v>848</v>
      </c>
      <c r="E5" s="100" t="s">
        <v>829</v>
      </c>
      <c r="F5" s="106" t="s">
        <v>850</v>
      </c>
      <c r="G5" s="102" t="s">
        <v>851</v>
      </c>
      <c r="H5" s="103" t="s">
        <v>852</v>
      </c>
    </row>
    <row r="6">
      <c r="A6" s="104"/>
      <c r="B6" s="104"/>
      <c r="C6" s="104"/>
      <c r="D6" s="99" t="s">
        <v>854</v>
      </c>
      <c r="E6" s="100" t="s">
        <v>829</v>
      </c>
      <c r="F6" s="105" t="s">
        <v>843</v>
      </c>
      <c r="G6" s="102" t="s">
        <v>851</v>
      </c>
      <c r="H6" s="103" t="s">
        <v>855</v>
      </c>
    </row>
    <row r="7">
      <c r="A7" s="104"/>
      <c r="B7" s="104"/>
      <c r="C7" s="104"/>
      <c r="D7" s="99" t="s">
        <v>857</v>
      </c>
      <c r="E7" s="100" t="s">
        <v>829</v>
      </c>
      <c r="F7" s="105" t="s">
        <v>843</v>
      </c>
      <c r="G7" s="102" t="s">
        <v>846</v>
      </c>
      <c r="H7" s="103" t="s">
        <v>858</v>
      </c>
    </row>
    <row r="8">
      <c r="A8" s="104"/>
      <c r="B8" s="104"/>
      <c r="C8" s="104"/>
      <c r="D8" s="99" t="s">
        <v>861</v>
      </c>
      <c r="E8" s="100" t="s">
        <v>829</v>
      </c>
      <c r="F8" s="105" t="s">
        <v>843</v>
      </c>
      <c r="G8" s="102" t="s">
        <v>862</v>
      </c>
      <c r="H8" s="103" t="s">
        <v>863</v>
      </c>
    </row>
    <row r="9">
      <c r="A9" s="104"/>
      <c r="B9" s="107"/>
      <c r="C9" s="107"/>
      <c r="D9" s="99" t="s">
        <v>865</v>
      </c>
      <c r="E9" s="100" t="s">
        <v>829</v>
      </c>
      <c r="F9" s="101" t="s">
        <v>832</v>
      </c>
      <c r="G9" s="102" t="s">
        <v>846</v>
      </c>
      <c r="H9" s="103" t="s">
        <v>867</v>
      </c>
    </row>
    <row r="10">
      <c r="A10" s="104"/>
      <c r="B10" s="97" t="s">
        <v>869</v>
      </c>
      <c r="C10" s="108" t="s">
        <v>651</v>
      </c>
      <c r="D10" s="99" t="s">
        <v>870</v>
      </c>
      <c r="E10" s="100" t="s">
        <v>842</v>
      </c>
      <c r="F10" s="101" t="s">
        <v>832</v>
      </c>
      <c r="G10" s="102" t="s">
        <v>833</v>
      </c>
      <c r="H10" s="103" t="s">
        <v>872</v>
      </c>
    </row>
    <row r="11">
      <c r="A11" s="104"/>
      <c r="B11" s="107"/>
      <c r="C11" s="107"/>
      <c r="D11" s="99" t="s">
        <v>875</v>
      </c>
      <c r="E11" s="100" t="s">
        <v>842</v>
      </c>
      <c r="F11" s="105" t="s">
        <v>843</v>
      </c>
      <c r="G11" s="102" t="s">
        <v>833</v>
      </c>
      <c r="H11" s="103" t="s">
        <v>876</v>
      </c>
    </row>
    <row r="12">
      <c r="A12" s="104"/>
      <c r="B12" s="109"/>
      <c r="C12" s="110"/>
      <c r="D12" s="109"/>
      <c r="E12" s="100"/>
      <c r="F12" s="111"/>
      <c r="G12" s="112"/>
      <c r="H12" s="109"/>
    </row>
    <row r="13">
      <c r="A13" s="104"/>
      <c r="B13" s="103" t="s">
        <v>879</v>
      </c>
      <c r="C13" s="113" t="s">
        <v>651</v>
      </c>
      <c r="D13" s="99" t="s">
        <v>880</v>
      </c>
      <c r="E13" s="100" t="s">
        <v>829</v>
      </c>
      <c r="F13" s="114" t="s">
        <v>882</v>
      </c>
      <c r="G13" s="102" t="s">
        <v>883</v>
      </c>
      <c r="H13" s="103" t="s">
        <v>885</v>
      </c>
    </row>
    <row r="14">
      <c r="A14" s="104"/>
      <c r="B14" s="109"/>
      <c r="C14" s="110"/>
      <c r="D14" s="109"/>
      <c r="E14" s="100"/>
      <c r="F14" s="111"/>
      <c r="G14" s="112"/>
      <c r="H14" s="109"/>
    </row>
    <row r="15">
      <c r="A15" s="104"/>
      <c r="B15" s="97" t="s">
        <v>888</v>
      </c>
      <c r="C15" s="108" t="s">
        <v>822</v>
      </c>
      <c r="D15" s="99" t="s">
        <v>891</v>
      </c>
      <c r="E15" s="100" t="s">
        <v>892</v>
      </c>
      <c r="F15" s="105" t="s">
        <v>843</v>
      </c>
      <c r="G15" s="102" t="s">
        <v>846</v>
      </c>
      <c r="H15" s="103" t="s">
        <v>894</v>
      </c>
    </row>
    <row r="16">
      <c r="A16" s="104"/>
      <c r="B16" s="104"/>
      <c r="C16" s="104"/>
      <c r="D16" s="99" t="s">
        <v>896</v>
      </c>
      <c r="E16" s="100" t="s">
        <v>892</v>
      </c>
      <c r="F16" s="115" t="s">
        <v>898</v>
      </c>
      <c r="G16" s="102" t="s">
        <v>833</v>
      </c>
      <c r="H16" s="103" t="s">
        <v>899</v>
      </c>
    </row>
    <row r="17">
      <c r="A17" s="104"/>
      <c r="B17" s="104"/>
      <c r="C17" s="104"/>
      <c r="D17" s="99" t="s">
        <v>901</v>
      </c>
      <c r="E17" s="100" t="s">
        <v>892</v>
      </c>
      <c r="F17" s="105" t="s">
        <v>843</v>
      </c>
      <c r="G17" s="102" t="s">
        <v>833</v>
      </c>
      <c r="H17" s="103" t="s">
        <v>903</v>
      </c>
    </row>
    <row r="18">
      <c r="A18" s="104"/>
      <c r="B18" s="107"/>
      <c r="C18" s="107"/>
      <c r="D18" s="99" t="s">
        <v>905</v>
      </c>
      <c r="E18" s="100" t="s">
        <v>892</v>
      </c>
      <c r="F18" s="101" t="s">
        <v>832</v>
      </c>
      <c r="G18" s="102" t="s">
        <v>906</v>
      </c>
      <c r="H18" s="103" t="s">
        <v>907</v>
      </c>
    </row>
    <row r="19">
      <c r="A19" s="104"/>
      <c r="B19" s="109"/>
      <c r="C19" s="110"/>
      <c r="D19" s="109"/>
      <c r="E19" s="100"/>
      <c r="F19" s="111"/>
      <c r="G19" s="112"/>
      <c r="H19" s="109"/>
    </row>
    <row r="20">
      <c r="A20" s="104"/>
      <c r="B20" s="97" t="s">
        <v>910</v>
      </c>
      <c r="C20" s="108" t="s">
        <v>912</v>
      </c>
      <c r="D20" s="99" t="s">
        <v>913</v>
      </c>
      <c r="E20" s="100" t="s">
        <v>829</v>
      </c>
      <c r="F20" s="105" t="s">
        <v>843</v>
      </c>
      <c r="G20" s="102" t="s">
        <v>846</v>
      </c>
      <c r="H20" s="103" t="s">
        <v>914</v>
      </c>
    </row>
    <row r="21">
      <c r="A21" s="104"/>
      <c r="B21" s="104"/>
      <c r="C21" s="104"/>
      <c r="D21" s="99" t="s">
        <v>916</v>
      </c>
      <c r="E21" s="100" t="s">
        <v>829</v>
      </c>
      <c r="F21" s="105" t="s">
        <v>843</v>
      </c>
      <c r="G21" s="102" t="s">
        <v>833</v>
      </c>
      <c r="H21" s="103" t="s">
        <v>918</v>
      </c>
    </row>
    <row r="22">
      <c r="A22" s="104"/>
      <c r="B22" s="107"/>
      <c r="C22" s="107"/>
      <c r="D22" s="99" t="s">
        <v>920</v>
      </c>
      <c r="E22" s="100" t="s">
        <v>829</v>
      </c>
      <c r="F22" s="105" t="s">
        <v>843</v>
      </c>
      <c r="G22" s="102" t="s">
        <v>833</v>
      </c>
      <c r="H22" s="103" t="s">
        <v>921</v>
      </c>
    </row>
    <row r="23">
      <c r="A23" s="104"/>
      <c r="B23" s="109"/>
      <c r="C23" s="110"/>
      <c r="D23" s="109"/>
      <c r="E23" s="100"/>
      <c r="F23" s="111"/>
      <c r="G23" s="112"/>
      <c r="H23" s="109"/>
    </row>
    <row r="24">
      <c r="A24" s="104"/>
      <c r="B24" s="97" t="s">
        <v>923</v>
      </c>
      <c r="C24" s="108" t="s">
        <v>651</v>
      </c>
      <c r="D24" s="99" t="s">
        <v>925</v>
      </c>
      <c r="E24" s="100" t="s">
        <v>892</v>
      </c>
      <c r="F24" s="105" t="s">
        <v>843</v>
      </c>
      <c r="G24" s="102" t="s">
        <v>833</v>
      </c>
      <c r="H24" s="103" t="s">
        <v>926</v>
      </c>
    </row>
    <row r="25">
      <c r="A25" s="104"/>
      <c r="B25" s="104"/>
      <c r="C25" s="104"/>
      <c r="D25" s="99" t="s">
        <v>927</v>
      </c>
      <c r="E25" s="100" t="s">
        <v>892</v>
      </c>
      <c r="F25" s="114" t="s">
        <v>882</v>
      </c>
      <c r="G25" s="102" t="s">
        <v>906</v>
      </c>
      <c r="H25" s="103" t="s">
        <v>929</v>
      </c>
    </row>
    <row r="26">
      <c r="A26" s="104"/>
      <c r="B26" s="104"/>
      <c r="C26" s="104"/>
      <c r="D26" s="99" t="s">
        <v>930</v>
      </c>
      <c r="E26" s="100" t="s">
        <v>892</v>
      </c>
      <c r="F26" s="105" t="s">
        <v>843</v>
      </c>
      <c r="G26" s="102" t="s">
        <v>833</v>
      </c>
      <c r="H26" s="103" t="s">
        <v>933</v>
      </c>
    </row>
    <row r="27">
      <c r="A27" s="104"/>
      <c r="B27" s="107"/>
      <c r="C27" s="107"/>
      <c r="D27" s="99" t="s">
        <v>934</v>
      </c>
      <c r="E27" s="100" t="s">
        <v>892</v>
      </c>
      <c r="F27" s="105" t="s">
        <v>843</v>
      </c>
      <c r="G27" s="102" t="s">
        <v>906</v>
      </c>
      <c r="H27" s="103" t="s">
        <v>935</v>
      </c>
    </row>
    <row r="28">
      <c r="A28" s="104"/>
      <c r="B28" s="109"/>
      <c r="C28" s="110"/>
      <c r="D28" s="109"/>
      <c r="E28" s="100"/>
      <c r="F28" s="111"/>
      <c r="G28" s="112"/>
      <c r="H28" s="109"/>
    </row>
    <row r="29">
      <c r="A29" s="104"/>
      <c r="B29" s="97" t="s">
        <v>937</v>
      </c>
      <c r="C29" s="108" t="s">
        <v>651</v>
      </c>
      <c r="D29" s="99" t="s">
        <v>940</v>
      </c>
      <c r="E29" s="100" t="s">
        <v>892</v>
      </c>
      <c r="F29" s="115" t="s">
        <v>898</v>
      </c>
      <c r="G29" s="102" t="s">
        <v>846</v>
      </c>
      <c r="H29" s="103" t="s">
        <v>941</v>
      </c>
    </row>
    <row r="30">
      <c r="A30" s="104"/>
      <c r="B30" s="104"/>
      <c r="C30" s="104"/>
      <c r="D30" s="99" t="s">
        <v>942</v>
      </c>
      <c r="E30" s="100" t="s">
        <v>892</v>
      </c>
      <c r="F30" s="105" t="s">
        <v>843</v>
      </c>
      <c r="G30" s="102" t="s">
        <v>944</v>
      </c>
      <c r="H30" s="103" t="s">
        <v>945</v>
      </c>
    </row>
    <row r="31">
      <c r="A31" s="104"/>
      <c r="B31" s="104"/>
      <c r="C31" s="104"/>
      <c r="D31" s="99" t="s">
        <v>946</v>
      </c>
      <c r="E31" s="100" t="s">
        <v>842</v>
      </c>
      <c r="F31" s="106" t="s">
        <v>850</v>
      </c>
      <c r="G31" s="102" t="s">
        <v>906</v>
      </c>
      <c r="H31" s="103" t="s">
        <v>949</v>
      </c>
    </row>
    <row r="32">
      <c r="A32" s="104"/>
      <c r="B32" s="104"/>
      <c r="C32" s="104"/>
      <c r="D32" s="99" t="s">
        <v>950</v>
      </c>
      <c r="E32" s="100" t="s">
        <v>892</v>
      </c>
      <c r="F32" s="105" t="s">
        <v>843</v>
      </c>
      <c r="G32" s="102" t="s">
        <v>851</v>
      </c>
      <c r="H32" s="103" t="s">
        <v>951</v>
      </c>
    </row>
    <row r="33">
      <c r="A33" s="104"/>
      <c r="B33" s="104"/>
      <c r="C33" s="104"/>
      <c r="D33" s="99" t="s">
        <v>953</v>
      </c>
      <c r="E33" s="100" t="s">
        <v>842</v>
      </c>
      <c r="F33" s="105" t="s">
        <v>843</v>
      </c>
      <c r="G33" s="102" t="s">
        <v>851</v>
      </c>
      <c r="H33" s="103" t="s">
        <v>954</v>
      </c>
    </row>
    <row r="34">
      <c r="A34" s="104"/>
      <c r="B34" s="104"/>
      <c r="C34" s="104"/>
      <c r="D34" s="99" t="s">
        <v>956</v>
      </c>
      <c r="E34" s="100" t="s">
        <v>842</v>
      </c>
      <c r="F34" s="101" t="s">
        <v>832</v>
      </c>
      <c r="G34" s="102" t="s">
        <v>846</v>
      </c>
      <c r="H34" s="109"/>
    </row>
    <row r="35">
      <c r="A35" s="104"/>
      <c r="B35" s="107"/>
      <c r="C35" s="107"/>
      <c r="D35" s="99" t="s">
        <v>957</v>
      </c>
      <c r="E35" s="100" t="s">
        <v>842</v>
      </c>
      <c r="F35" s="116" t="s">
        <v>958</v>
      </c>
      <c r="G35" s="102" t="s">
        <v>446</v>
      </c>
      <c r="H35" s="103" t="s">
        <v>960</v>
      </c>
    </row>
    <row r="36">
      <c r="A36" s="104"/>
      <c r="B36" s="109"/>
      <c r="C36" s="110"/>
      <c r="D36" s="109"/>
      <c r="E36" s="100"/>
      <c r="F36" s="111"/>
      <c r="G36" s="112"/>
      <c r="H36" s="109"/>
    </row>
    <row r="37">
      <c r="A37" s="104"/>
      <c r="B37" s="103" t="s">
        <v>962</v>
      </c>
      <c r="C37" s="113" t="s">
        <v>651</v>
      </c>
      <c r="D37" s="99" t="s">
        <v>963</v>
      </c>
      <c r="E37" s="100" t="s">
        <v>842</v>
      </c>
      <c r="F37" s="105" t="s">
        <v>843</v>
      </c>
      <c r="G37" s="102" t="s">
        <v>944</v>
      </c>
      <c r="H37" s="103" t="s">
        <v>964</v>
      </c>
    </row>
    <row r="38">
      <c r="A38" s="104"/>
      <c r="B38" s="109"/>
      <c r="C38" s="110"/>
      <c r="D38" s="99" t="s">
        <v>966</v>
      </c>
      <c r="E38" s="100" t="s">
        <v>842</v>
      </c>
      <c r="F38" s="105" t="s">
        <v>843</v>
      </c>
      <c r="G38" s="102" t="s">
        <v>846</v>
      </c>
      <c r="H38" s="103" t="s">
        <v>967</v>
      </c>
    </row>
    <row r="39">
      <c r="A39" s="104"/>
      <c r="B39" s="109"/>
      <c r="C39" s="110"/>
      <c r="D39" s="99" t="s">
        <v>970</v>
      </c>
      <c r="E39" s="100" t="s">
        <v>842</v>
      </c>
      <c r="F39" s="106" t="s">
        <v>850</v>
      </c>
      <c r="G39" s="102" t="s">
        <v>833</v>
      </c>
      <c r="H39" s="103" t="s">
        <v>971</v>
      </c>
    </row>
    <row r="40">
      <c r="A40" s="104"/>
      <c r="B40" s="109"/>
      <c r="C40" s="110"/>
      <c r="D40" s="99" t="s">
        <v>972</v>
      </c>
      <c r="E40" s="100" t="s">
        <v>842</v>
      </c>
      <c r="F40" s="101" t="s">
        <v>832</v>
      </c>
      <c r="G40" s="102" t="s">
        <v>833</v>
      </c>
      <c r="H40" s="109"/>
    </row>
    <row r="41">
      <c r="A41" s="104"/>
      <c r="B41" s="109"/>
      <c r="C41" s="110"/>
      <c r="D41" s="109"/>
      <c r="E41" s="100"/>
      <c r="F41" s="111"/>
      <c r="G41" s="112"/>
      <c r="H41" s="109"/>
    </row>
    <row r="42">
      <c r="A42" s="104"/>
      <c r="B42" s="103" t="s">
        <v>977</v>
      </c>
      <c r="C42" s="113" t="s">
        <v>718</v>
      </c>
      <c r="D42" s="99" t="s">
        <v>978</v>
      </c>
      <c r="E42" s="100" t="s">
        <v>892</v>
      </c>
      <c r="F42" s="105" t="s">
        <v>843</v>
      </c>
      <c r="G42" s="102" t="s">
        <v>846</v>
      </c>
      <c r="H42" s="103" t="s">
        <v>980</v>
      </c>
    </row>
    <row r="43">
      <c r="A43" s="104"/>
      <c r="B43" s="109"/>
      <c r="C43" s="110"/>
      <c r="D43" s="99" t="s">
        <v>981</v>
      </c>
      <c r="E43" s="100" t="s">
        <v>892</v>
      </c>
      <c r="F43" s="105" t="s">
        <v>843</v>
      </c>
      <c r="G43" s="102" t="s">
        <v>862</v>
      </c>
      <c r="H43" s="103" t="s">
        <v>903</v>
      </c>
    </row>
    <row r="44">
      <c r="A44" s="104"/>
      <c r="B44" s="109"/>
      <c r="C44" s="110"/>
      <c r="D44" s="99" t="s">
        <v>983</v>
      </c>
      <c r="E44" s="100" t="s">
        <v>892</v>
      </c>
      <c r="F44" s="105" t="s">
        <v>843</v>
      </c>
      <c r="G44" s="102" t="s">
        <v>846</v>
      </c>
      <c r="H44" s="103" t="s">
        <v>984</v>
      </c>
    </row>
    <row r="45">
      <c r="A45" s="104"/>
      <c r="B45" s="109"/>
      <c r="C45" s="110"/>
      <c r="D45" s="99" t="s">
        <v>985</v>
      </c>
      <c r="E45" s="100" t="s">
        <v>892</v>
      </c>
      <c r="F45" s="106" t="s">
        <v>850</v>
      </c>
      <c r="G45" s="102" t="s">
        <v>833</v>
      </c>
      <c r="H45" s="103" t="s">
        <v>911</v>
      </c>
    </row>
    <row r="46">
      <c r="A46" s="104"/>
      <c r="B46" s="109"/>
      <c r="C46" s="110"/>
      <c r="D46" s="109"/>
      <c r="E46" s="100"/>
      <c r="F46" s="111"/>
      <c r="G46" s="112"/>
      <c r="H46" s="109"/>
    </row>
    <row r="47">
      <c r="A47" s="104"/>
      <c r="B47" s="103" t="s">
        <v>989</v>
      </c>
      <c r="C47" s="113" t="s">
        <v>718</v>
      </c>
      <c r="D47" s="99" t="s">
        <v>990</v>
      </c>
      <c r="E47" s="100" t="s">
        <v>892</v>
      </c>
      <c r="F47" s="105" t="s">
        <v>843</v>
      </c>
      <c r="G47" s="102" t="s">
        <v>851</v>
      </c>
      <c r="H47" s="103" t="s">
        <v>903</v>
      </c>
    </row>
    <row r="48">
      <c r="A48" s="104"/>
      <c r="B48" s="109"/>
      <c r="C48" s="110"/>
      <c r="D48" s="99" t="s">
        <v>991</v>
      </c>
      <c r="E48" s="100" t="s">
        <v>892</v>
      </c>
      <c r="F48" s="105" t="s">
        <v>843</v>
      </c>
      <c r="G48" s="102" t="s">
        <v>992</v>
      </c>
      <c r="H48" s="103" t="s">
        <v>903</v>
      </c>
    </row>
    <row r="49">
      <c r="A49" s="104"/>
      <c r="B49" s="109"/>
      <c r="C49" s="110"/>
      <c r="D49" s="99" t="s">
        <v>993</v>
      </c>
      <c r="E49" s="100" t="s">
        <v>892</v>
      </c>
      <c r="F49" s="105" t="s">
        <v>843</v>
      </c>
      <c r="G49" s="102" t="s">
        <v>851</v>
      </c>
      <c r="H49" s="103" t="s">
        <v>903</v>
      </c>
    </row>
    <row r="50">
      <c r="A50" s="104"/>
      <c r="B50" s="109"/>
      <c r="C50" s="110"/>
      <c r="D50" s="99" t="s">
        <v>994</v>
      </c>
      <c r="E50" s="100" t="s">
        <v>892</v>
      </c>
      <c r="F50" s="106" t="s">
        <v>850</v>
      </c>
      <c r="G50" s="102" t="s">
        <v>833</v>
      </c>
      <c r="H50" s="103" t="s">
        <v>995</v>
      </c>
    </row>
    <row r="51">
      <c r="A51" s="104"/>
      <c r="B51" s="109"/>
      <c r="C51" s="110"/>
      <c r="D51" s="99" t="s">
        <v>996</v>
      </c>
      <c r="E51" s="100" t="s">
        <v>892</v>
      </c>
      <c r="F51" s="105" t="s">
        <v>843</v>
      </c>
      <c r="G51" s="102" t="s">
        <v>846</v>
      </c>
      <c r="H51" s="109"/>
    </row>
    <row r="52">
      <c r="A52" s="104"/>
      <c r="B52" s="109"/>
      <c r="C52" s="110"/>
      <c r="D52" s="109"/>
      <c r="E52" s="100"/>
      <c r="F52" s="111"/>
      <c r="G52" s="112"/>
      <c r="H52" s="109"/>
    </row>
    <row r="53">
      <c r="A53" s="104"/>
      <c r="B53" s="103" t="s">
        <v>997</v>
      </c>
      <c r="C53" s="113" t="s">
        <v>745</v>
      </c>
      <c r="D53" s="99" t="s">
        <v>998</v>
      </c>
      <c r="E53" s="100" t="s">
        <v>829</v>
      </c>
      <c r="F53" s="105" t="s">
        <v>843</v>
      </c>
      <c r="G53" s="102" t="s">
        <v>851</v>
      </c>
      <c r="H53" s="103" t="s">
        <v>999</v>
      </c>
    </row>
    <row r="54">
      <c r="A54" s="104"/>
      <c r="B54" s="109"/>
      <c r="C54" s="110"/>
      <c r="D54" s="99" t="s">
        <v>1000</v>
      </c>
      <c r="E54" s="100" t="s">
        <v>829</v>
      </c>
      <c r="F54" s="105" t="s">
        <v>843</v>
      </c>
      <c r="G54" s="102" t="s">
        <v>851</v>
      </c>
      <c r="H54" s="103" t="s">
        <v>1001</v>
      </c>
    </row>
    <row r="55">
      <c r="A55" s="104"/>
      <c r="B55" s="109"/>
      <c r="C55" s="110"/>
      <c r="D55" s="99" t="s">
        <v>1002</v>
      </c>
      <c r="E55" s="100" t="s">
        <v>829</v>
      </c>
      <c r="F55" s="106" t="s">
        <v>850</v>
      </c>
      <c r="G55" s="102" t="s">
        <v>833</v>
      </c>
      <c r="H55" s="103" t="s">
        <v>1003</v>
      </c>
    </row>
    <row r="56">
      <c r="A56" s="104"/>
      <c r="B56" s="109"/>
      <c r="C56" s="110"/>
      <c r="D56" s="99" t="s">
        <v>1004</v>
      </c>
      <c r="E56" s="100" t="s">
        <v>829</v>
      </c>
      <c r="F56" s="105" t="s">
        <v>843</v>
      </c>
      <c r="G56" s="102" t="s">
        <v>846</v>
      </c>
      <c r="H56" s="109"/>
    </row>
    <row r="57">
      <c r="A57" s="104"/>
      <c r="B57" s="109"/>
      <c r="C57" s="110"/>
      <c r="D57" s="109"/>
      <c r="E57" s="100"/>
      <c r="F57" s="111"/>
      <c r="G57" s="112"/>
      <c r="H57" s="109"/>
    </row>
    <row r="58">
      <c r="A58" s="104"/>
      <c r="B58" s="103" t="s">
        <v>1005</v>
      </c>
      <c r="C58" s="113" t="s">
        <v>1006</v>
      </c>
      <c r="D58" s="99" t="s">
        <v>1007</v>
      </c>
      <c r="E58" s="100" t="s">
        <v>829</v>
      </c>
      <c r="F58" s="114" t="s">
        <v>882</v>
      </c>
      <c r="G58" s="102" t="s">
        <v>944</v>
      </c>
      <c r="H58" s="103" t="s">
        <v>1008</v>
      </c>
    </row>
    <row r="59">
      <c r="A59" s="104"/>
      <c r="B59" s="109"/>
      <c r="C59" s="110"/>
      <c r="D59" s="99" t="s">
        <v>1009</v>
      </c>
      <c r="E59" s="100" t="s">
        <v>829</v>
      </c>
      <c r="F59" s="105" t="s">
        <v>843</v>
      </c>
      <c r="G59" s="102" t="s">
        <v>833</v>
      </c>
      <c r="H59" s="103" t="s">
        <v>1010</v>
      </c>
    </row>
    <row r="60">
      <c r="A60" s="104"/>
      <c r="B60" s="109"/>
      <c r="C60" s="110"/>
      <c r="D60" s="99" t="s">
        <v>1011</v>
      </c>
      <c r="E60" s="100" t="s">
        <v>829</v>
      </c>
      <c r="F60" s="114" t="s">
        <v>882</v>
      </c>
      <c r="G60" s="102" t="s">
        <v>906</v>
      </c>
      <c r="H60" s="109"/>
    </row>
    <row r="61">
      <c r="A61" s="104"/>
      <c r="B61" s="109"/>
      <c r="C61" s="110"/>
      <c r="D61" s="109"/>
      <c r="E61" s="100"/>
      <c r="F61" s="111"/>
      <c r="G61" s="112"/>
      <c r="H61" s="109"/>
    </row>
    <row r="62">
      <c r="A62" s="104"/>
      <c r="B62" s="103" t="s">
        <v>1012</v>
      </c>
      <c r="C62" s="113" t="s">
        <v>651</v>
      </c>
      <c r="D62" s="99" t="s">
        <v>1013</v>
      </c>
      <c r="E62" s="100" t="s">
        <v>829</v>
      </c>
      <c r="F62" s="101" t="s">
        <v>832</v>
      </c>
      <c r="G62" s="102" t="s">
        <v>906</v>
      </c>
      <c r="H62" s="103" t="s">
        <v>1014</v>
      </c>
    </row>
    <row r="63">
      <c r="A63" s="104"/>
      <c r="B63" s="109"/>
      <c r="C63" s="110"/>
      <c r="D63" s="99" t="s">
        <v>1015</v>
      </c>
      <c r="E63" s="100" t="s">
        <v>829</v>
      </c>
      <c r="F63" s="105" t="s">
        <v>843</v>
      </c>
      <c r="G63" s="102" t="s">
        <v>944</v>
      </c>
      <c r="H63" s="103" t="s">
        <v>903</v>
      </c>
    </row>
    <row r="64">
      <c r="A64" s="104"/>
      <c r="B64" s="109"/>
      <c r="C64" s="110"/>
      <c r="D64" s="99" t="s">
        <v>1016</v>
      </c>
      <c r="E64" s="100" t="s">
        <v>829</v>
      </c>
      <c r="F64" s="105" t="s">
        <v>843</v>
      </c>
      <c r="G64" s="102" t="s">
        <v>846</v>
      </c>
      <c r="H64" s="103" t="s">
        <v>903</v>
      </c>
    </row>
    <row r="65">
      <c r="A65" s="104"/>
      <c r="B65" s="109"/>
      <c r="C65" s="110"/>
      <c r="D65" s="99" t="s">
        <v>1017</v>
      </c>
      <c r="E65" s="100" t="s">
        <v>829</v>
      </c>
      <c r="F65" s="105" t="s">
        <v>843</v>
      </c>
      <c r="G65" s="102" t="s">
        <v>944</v>
      </c>
      <c r="H65" s="103" t="s">
        <v>903</v>
      </c>
    </row>
    <row r="66">
      <c r="A66" s="104"/>
      <c r="B66" s="109"/>
      <c r="C66" s="110"/>
      <c r="D66" s="99" t="s">
        <v>1018</v>
      </c>
      <c r="E66" s="100" t="s">
        <v>829</v>
      </c>
      <c r="F66" s="105" t="s">
        <v>843</v>
      </c>
      <c r="G66" s="102" t="s">
        <v>846</v>
      </c>
      <c r="H66" s="103" t="s">
        <v>1019</v>
      </c>
    </row>
    <row r="67">
      <c r="A67" s="104"/>
      <c r="B67" s="109"/>
      <c r="C67" s="110"/>
      <c r="D67" s="99" t="s">
        <v>1020</v>
      </c>
      <c r="E67" s="100" t="s">
        <v>829</v>
      </c>
      <c r="F67" s="105" t="s">
        <v>843</v>
      </c>
      <c r="G67" s="102" t="s">
        <v>944</v>
      </c>
      <c r="H67" s="109"/>
    </row>
    <row r="68">
      <c r="A68" s="104"/>
      <c r="B68" s="109"/>
      <c r="C68" s="110"/>
      <c r="D68" s="99" t="s">
        <v>1021</v>
      </c>
      <c r="E68" s="100" t="s">
        <v>829</v>
      </c>
      <c r="F68" s="116" t="s">
        <v>958</v>
      </c>
      <c r="G68" s="102" t="s">
        <v>446</v>
      </c>
      <c r="H68" s="103" t="s">
        <v>1022</v>
      </c>
    </row>
    <row r="69">
      <c r="A69" s="107"/>
      <c r="B69" s="109"/>
      <c r="C69" s="110"/>
      <c r="D69" s="109"/>
      <c r="E69" s="100"/>
      <c r="F69" s="124"/>
      <c r="G69" s="112"/>
      <c r="H69" s="109"/>
    </row>
    <row r="70">
      <c r="A70" s="96" t="s">
        <v>1023</v>
      </c>
      <c r="B70" s="109"/>
      <c r="C70" s="110"/>
      <c r="D70" s="109"/>
      <c r="E70" s="100"/>
      <c r="F70" s="125"/>
      <c r="G70" s="112"/>
      <c r="H70" s="109"/>
    </row>
    <row r="71">
      <c r="A71" s="104"/>
      <c r="B71" s="103" t="s">
        <v>1024</v>
      </c>
      <c r="C71" s="113" t="s">
        <v>651</v>
      </c>
      <c r="D71" s="99" t="s">
        <v>1025</v>
      </c>
      <c r="E71" s="100"/>
      <c r="F71" s="106" t="s">
        <v>850</v>
      </c>
      <c r="G71" s="102" t="s">
        <v>833</v>
      </c>
      <c r="H71" s="103" t="s">
        <v>1026</v>
      </c>
    </row>
    <row r="72">
      <c r="A72" s="104"/>
      <c r="B72" s="109"/>
      <c r="C72" s="110"/>
      <c r="D72" s="109"/>
      <c r="E72" s="100"/>
      <c r="F72" s="111"/>
      <c r="G72" s="112"/>
      <c r="H72" s="109"/>
    </row>
    <row r="73">
      <c r="A73" s="104"/>
      <c r="B73" s="103" t="s">
        <v>1027</v>
      </c>
      <c r="C73" s="113" t="s">
        <v>651</v>
      </c>
      <c r="D73" s="99" t="s">
        <v>1028</v>
      </c>
      <c r="E73" s="100"/>
      <c r="F73" s="105" t="s">
        <v>843</v>
      </c>
      <c r="G73" s="102" t="s">
        <v>846</v>
      </c>
      <c r="H73" s="103" t="s">
        <v>904</v>
      </c>
    </row>
    <row r="74">
      <c r="A74" s="104"/>
      <c r="B74" s="109"/>
      <c r="C74" s="110"/>
      <c r="D74" s="109"/>
      <c r="E74" s="100"/>
      <c r="F74" s="111"/>
      <c r="G74" s="112"/>
      <c r="H74" s="109"/>
    </row>
    <row r="75">
      <c r="A75" s="104"/>
      <c r="B75" s="103" t="s">
        <v>1029</v>
      </c>
      <c r="C75" s="113" t="s">
        <v>651</v>
      </c>
      <c r="D75" s="99" t="s">
        <v>1030</v>
      </c>
      <c r="E75" s="100"/>
      <c r="F75" s="105" t="s">
        <v>843</v>
      </c>
      <c r="G75" s="102" t="s">
        <v>846</v>
      </c>
      <c r="H75" s="109"/>
    </row>
    <row r="76">
      <c r="A76" s="104"/>
      <c r="B76" s="109"/>
      <c r="C76" s="110"/>
      <c r="D76" s="99" t="s">
        <v>1031</v>
      </c>
      <c r="E76" s="100"/>
      <c r="F76" s="101" t="s">
        <v>832</v>
      </c>
      <c r="G76" s="102" t="s">
        <v>833</v>
      </c>
      <c r="H76" s="109"/>
    </row>
    <row r="77">
      <c r="A77" s="104"/>
      <c r="B77" s="109"/>
      <c r="C77" s="110"/>
      <c r="D77" s="99" t="s">
        <v>1032</v>
      </c>
      <c r="E77" s="100"/>
      <c r="F77" s="106" t="s">
        <v>850</v>
      </c>
      <c r="G77" s="102" t="s">
        <v>833</v>
      </c>
      <c r="H77" s="103" t="s">
        <v>1034</v>
      </c>
    </row>
    <row r="78">
      <c r="A78" s="104"/>
      <c r="B78" s="109"/>
      <c r="C78" s="110"/>
      <c r="D78" s="99" t="s">
        <v>1037</v>
      </c>
      <c r="E78" s="100"/>
      <c r="F78" s="101" t="s">
        <v>832</v>
      </c>
      <c r="G78" s="102" t="s">
        <v>846</v>
      </c>
      <c r="H78" s="109"/>
    </row>
    <row r="79">
      <c r="A79" s="104"/>
      <c r="B79" s="109"/>
      <c r="C79" s="110"/>
      <c r="D79" s="99" t="s">
        <v>1041</v>
      </c>
      <c r="E79" s="100"/>
      <c r="F79" s="101" t="s">
        <v>832</v>
      </c>
      <c r="G79" s="102" t="s">
        <v>846</v>
      </c>
      <c r="H79" s="103" t="s">
        <v>1042</v>
      </c>
    </row>
    <row r="80">
      <c r="A80" s="104"/>
      <c r="B80" s="109"/>
      <c r="C80" s="110"/>
      <c r="D80" s="99" t="s">
        <v>1043</v>
      </c>
      <c r="E80" s="100"/>
      <c r="F80" s="101" t="s">
        <v>832</v>
      </c>
      <c r="G80" s="102" t="s">
        <v>846</v>
      </c>
      <c r="H80" s="109"/>
    </row>
    <row r="81">
      <c r="A81" s="104"/>
      <c r="B81" s="109"/>
      <c r="C81" s="110"/>
      <c r="D81" s="109"/>
      <c r="E81" s="100"/>
      <c r="F81" s="111"/>
      <c r="G81" s="112"/>
      <c r="H81" s="109"/>
    </row>
    <row r="82">
      <c r="A82" s="104"/>
      <c r="B82" s="103" t="s">
        <v>1045</v>
      </c>
      <c r="C82" s="113" t="s">
        <v>651</v>
      </c>
      <c r="D82" s="99" t="s">
        <v>1046</v>
      </c>
      <c r="E82" s="100"/>
      <c r="F82" s="101" t="s">
        <v>832</v>
      </c>
      <c r="G82" s="102" t="s">
        <v>846</v>
      </c>
      <c r="H82" s="109"/>
    </row>
    <row r="83">
      <c r="A83" s="104"/>
      <c r="B83" s="109"/>
      <c r="C83" s="110"/>
      <c r="D83" s="99" t="s">
        <v>1050</v>
      </c>
      <c r="E83" s="100"/>
      <c r="F83" s="101" t="s">
        <v>832</v>
      </c>
      <c r="G83" s="102" t="s">
        <v>833</v>
      </c>
      <c r="H83" s="109"/>
    </row>
    <row r="84">
      <c r="A84" s="104"/>
      <c r="B84" s="109"/>
      <c r="C84" s="110"/>
      <c r="D84" s="99" t="s">
        <v>1051</v>
      </c>
      <c r="E84" s="100"/>
      <c r="F84" s="106" t="s">
        <v>850</v>
      </c>
      <c r="G84" s="102" t="s">
        <v>833</v>
      </c>
      <c r="H84" s="109"/>
    </row>
    <row r="85">
      <c r="A85" s="104"/>
      <c r="B85" s="109"/>
      <c r="C85" s="110"/>
      <c r="D85" s="109"/>
      <c r="E85" s="100"/>
      <c r="F85" s="111"/>
      <c r="G85" s="112"/>
      <c r="H85" s="109"/>
    </row>
    <row r="86">
      <c r="A86" s="104"/>
      <c r="B86" s="103" t="s">
        <v>1052</v>
      </c>
      <c r="C86" s="113" t="s">
        <v>735</v>
      </c>
      <c r="D86" s="99" t="s">
        <v>1053</v>
      </c>
      <c r="E86" s="100"/>
      <c r="F86" s="101" t="s">
        <v>832</v>
      </c>
      <c r="G86" s="102" t="s">
        <v>846</v>
      </c>
      <c r="H86" s="103" t="s">
        <v>1054</v>
      </c>
    </row>
    <row r="87">
      <c r="A87" s="104"/>
      <c r="B87" s="109"/>
      <c r="C87" s="110"/>
      <c r="D87" s="99" t="s">
        <v>1055</v>
      </c>
      <c r="E87" s="100"/>
      <c r="F87" s="101" t="s">
        <v>832</v>
      </c>
      <c r="G87" s="102" t="s">
        <v>846</v>
      </c>
      <c r="H87" s="109"/>
    </row>
    <row r="88">
      <c r="A88" s="104"/>
      <c r="B88" s="109"/>
      <c r="C88" s="110"/>
      <c r="D88" s="109"/>
      <c r="E88" s="100"/>
      <c r="F88" s="111"/>
      <c r="G88" s="112"/>
      <c r="H88" s="109"/>
    </row>
    <row r="89">
      <c r="A89" s="104"/>
      <c r="B89" s="103" t="s">
        <v>1056</v>
      </c>
      <c r="C89" s="113" t="s">
        <v>745</v>
      </c>
      <c r="D89" s="99" t="s">
        <v>1057</v>
      </c>
      <c r="E89" s="100"/>
      <c r="F89" s="101" t="s">
        <v>832</v>
      </c>
      <c r="G89" s="102" t="s">
        <v>944</v>
      </c>
      <c r="H89" s="103" t="s">
        <v>1058</v>
      </c>
    </row>
    <row r="90">
      <c r="A90" s="104"/>
      <c r="B90" s="109"/>
      <c r="C90" s="110"/>
      <c r="D90" s="99" t="s">
        <v>1059</v>
      </c>
      <c r="E90" s="100"/>
      <c r="F90" s="101" t="s">
        <v>832</v>
      </c>
      <c r="G90" s="102" t="s">
        <v>833</v>
      </c>
      <c r="H90" s="103" t="s">
        <v>1060</v>
      </c>
    </row>
    <row r="91">
      <c r="A91" s="107"/>
      <c r="B91" s="109"/>
      <c r="C91" s="110"/>
      <c r="D91" s="109"/>
      <c r="E91" s="100"/>
      <c r="F91" s="124"/>
      <c r="G91" s="112"/>
      <c r="H91" s="109"/>
    </row>
    <row r="92">
      <c r="A92" s="96" t="s">
        <v>1061</v>
      </c>
      <c r="B92" s="109"/>
      <c r="C92" s="110"/>
      <c r="D92" s="109"/>
      <c r="E92" s="100"/>
      <c r="F92" s="125"/>
      <c r="G92" s="112"/>
      <c r="H92" s="109"/>
    </row>
    <row r="93">
      <c r="A93" s="104"/>
      <c r="B93" s="103" t="s">
        <v>1062</v>
      </c>
      <c r="C93" s="113" t="s">
        <v>596</v>
      </c>
      <c r="D93" s="99" t="s">
        <v>1063</v>
      </c>
      <c r="E93" s="100"/>
      <c r="F93" s="106" t="s">
        <v>850</v>
      </c>
      <c r="G93" s="102" t="s">
        <v>833</v>
      </c>
      <c r="H93" s="103" t="s">
        <v>1064</v>
      </c>
    </row>
    <row r="94">
      <c r="A94" s="104"/>
      <c r="B94" s="109"/>
      <c r="C94" s="110"/>
      <c r="D94" s="99" t="s">
        <v>1065</v>
      </c>
      <c r="E94" s="100"/>
      <c r="F94" s="105" t="s">
        <v>843</v>
      </c>
      <c r="G94" s="102" t="s">
        <v>846</v>
      </c>
      <c r="H94" s="109"/>
    </row>
    <row r="95">
      <c r="A95" s="104"/>
      <c r="B95" s="109"/>
      <c r="C95" s="110"/>
      <c r="D95" s="99" t="s">
        <v>1066</v>
      </c>
      <c r="E95" s="100"/>
      <c r="F95" s="105" t="s">
        <v>843</v>
      </c>
      <c r="G95" s="102" t="s">
        <v>846</v>
      </c>
      <c r="H95" s="109"/>
    </row>
    <row r="96">
      <c r="A96" s="104"/>
      <c r="B96" s="109"/>
      <c r="C96" s="110"/>
      <c r="D96" s="99" t="s">
        <v>1067</v>
      </c>
      <c r="E96" s="100"/>
      <c r="F96" s="105" t="s">
        <v>843</v>
      </c>
      <c r="G96" s="102" t="s">
        <v>846</v>
      </c>
      <c r="H96" s="109"/>
    </row>
    <row r="97">
      <c r="A97" s="104"/>
      <c r="B97" s="109"/>
      <c r="C97" s="110"/>
      <c r="D97" s="99" t="s">
        <v>1068</v>
      </c>
      <c r="E97" s="100"/>
      <c r="F97" s="105" t="s">
        <v>843</v>
      </c>
      <c r="G97" s="102" t="s">
        <v>846</v>
      </c>
      <c r="H97" s="103" t="s">
        <v>1069</v>
      </c>
    </row>
    <row r="98">
      <c r="A98" s="104"/>
      <c r="B98" s="109"/>
      <c r="C98" s="110"/>
      <c r="D98" s="99" t="s">
        <v>1070</v>
      </c>
      <c r="E98" s="100"/>
      <c r="F98" s="106" t="s">
        <v>850</v>
      </c>
      <c r="G98" s="102" t="s">
        <v>833</v>
      </c>
      <c r="H98" s="103" t="s">
        <v>1071</v>
      </c>
    </row>
    <row r="99">
      <c r="A99" s="104"/>
      <c r="B99" s="109"/>
      <c r="C99" s="110"/>
      <c r="D99" s="99" t="s">
        <v>1072</v>
      </c>
      <c r="E99" s="100"/>
      <c r="F99" s="105" t="s">
        <v>843</v>
      </c>
      <c r="G99" s="102" t="s">
        <v>846</v>
      </c>
      <c r="H99" s="109"/>
    </row>
    <row r="100">
      <c r="A100" s="104"/>
      <c r="B100" s="109"/>
      <c r="C100" s="110"/>
      <c r="D100" s="109"/>
      <c r="E100" s="100"/>
      <c r="F100" s="111"/>
      <c r="G100" s="112"/>
      <c r="H100" s="109"/>
    </row>
    <row r="101">
      <c r="A101" s="104"/>
      <c r="B101" s="103" t="s">
        <v>1073</v>
      </c>
      <c r="C101" s="113" t="s">
        <v>625</v>
      </c>
      <c r="D101" s="99" t="s">
        <v>1074</v>
      </c>
      <c r="E101" s="100"/>
      <c r="F101" s="115" t="s">
        <v>898</v>
      </c>
      <c r="G101" s="102" t="s">
        <v>846</v>
      </c>
      <c r="H101" s="109"/>
    </row>
    <row r="102">
      <c r="A102" s="104"/>
      <c r="B102" s="109"/>
      <c r="C102" s="110"/>
      <c r="D102" s="99" t="s">
        <v>1075</v>
      </c>
      <c r="E102" s="100"/>
      <c r="F102" s="114" t="s">
        <v>882</v>
      </c>
      <c r="G102" s="102" t="s">
        <v>846</v>
      </c>
      <c r="H102" s="103" t="s">
        <v>1076</v>
      </c>
    </row>
    <row r="103">
      <c r="A103" s="104"/>
      <c r="B103" s="109"/>
      <c r="C103" s="110"/>
      <c r="D103" s="99" t="s">
        <v>1077</v>
      </c>
      <c r="E103" s="100"/>
      <c r="F103" s="115" t="s">
        <v>898</v>
      </c>
      <c r="G103" s="102" t="s">
        <v>944</v>
      </c>
      <c r="H103" s="103" t="s">
        <v>1078</v>
      </c>
    </row>
    <row r="104">
      <c r="A104" s="104"/>
      <c r="B104" s="109"/>
      <c r="C104" s="110"/>
      <c r="D104" s="109"/>
      <c r="E104" s="100"/>
      <c r="F104" s="111"/>
      <c r="G104" s="112"/>
      <c r="H104" s="109"/>
    </row>
    <row r="105">
      <c r="A105" s="104"/>
      <c r="B105" s="103" t="s">
        <v>1079</v>
      </c>
      <c r="C105" s="113" t="s">
        <v>1080</v>
      </c>
      <c r="D105" s="99" t="s">
        <v>1081</v>
      </c>
      <c r="E105" s="100"/>
      <c r="F105" s="114" t="s">
        <v>882</v>
      </c>
      <c r="G105" s="102" t="s">
        <v>846</v>
      </c>
      <c r="H105" s="103" t="s">
        <v>1082</v>
      </c>
    </row>
    <row r="106">
      <c r="A106" s="104"/>
      <c r="B106" s="109"/>
      <c r="C106" s="110"/>
      <c r="D106" s="109"/>
      <c r="E106" s="100"/>
      <c r="F106" s="111"/>
      <c r="G106" s="112"/>
      <c r="H106" s="109"/>
    </row>
    <row r="107">
      <c r="A107" s="104"/>
      <c r="B107" s="103" t="s">
        <v>1083</v>
      </c>
      <c r="C107" s="113" t="s">
        <v>1084</v>
      </c>
      <c r="D107" s="99" t="s">
        <v>1085</v>
      </c>
      <c r="E107" s="100"/>
      <c r="F107" s="114" t="s">
        <v>882</v>
      </c>
      <c r="G107" s="102" t="s">
        <v>883</v>
      </c>
      <c r="H107" s="103" t="s">
        <v>1087</v>
      </c>
    </row>
    <row r="108">
      <c r="A108" s="104"/>
      <c r="B108" s="109"/>
      <c r="C108" s="110"/>
      <c r="D108" s="109"/>
      <c r="E108" s="100"/>
      <c r="F108" s="111"/>
      <c r="G108" s="112"/>
      <c r="H108" s="109"/>
    </row>
    <row r="109">
      <c r="A109" s="104"/>
      <c r="B109" s="103" t="s">
        <v>1092</v>
      </c>
      <c r="C109" s="113" t="s">
        <v>651</v>
      </c>
      <c r="D109" s="99" t="s">
        <v>1093</v>
      </c>
      <c r="E109" s="100"/>
      <c r="F109" s="114" t="s">
        <v>882</v>
      </c>
      <c r="G109" s="102" t="s">
        <v>833</v>
      </c>
      <c r="H109" s="103" t="s">
        <v>1094</v>
      </c>
    </row>
    <row r="110">
      <c r="A110" s="104"/>
      <c r="B110" s="109"/>
      <c r="C110" s="110"/>
      <c r="D110" s="109"/>
      <c r="E110" s="100"/>
      <c r="F110" s="111"/>
      <c r="G110" s="112"/>
      <c r="H110" s="109"/>
    </row>
    <row r="111">
      <c r="A111" s="104"/>
      <c r="B111" s="103" t="s">
        <v>1095</v>
      </c>
      <c r="C111" s="113" t="s">
        <v>651</v>
      </c>
      <c r="D111" s="99" t="s">
        <v>1096</v>
      </c>
      <c r="E111" s="100"/>
      <c r="F111" s="105" t="s">
        <v>843</v>
      </c>
      <c r="G111" s="102" t="s">
        <v>944</v>
      </c>
      <c r="H111" s="103" t="s">
        <v>1097</v>
      </c>
    </row>
    <row r="112">
      <c r="A112" s="104"/>
      <c r="B112" s="109"/>
      <c r="C112" s="110"/>
      <c r="D112" s="99" t="s">
        <v>1098</v>
      </c>
      <c r="E112" s="100"/>
      <c r="F112" s="105" t="s">
        <v>843</v>
      </c>
      <c r="G112" s="102" t="s">
        <v>944</v>
      </c>
      <c r="H112" s="132" t="s">
        <v>1099</v>
      </c>
    </row>
    <row r="113">
      <c r="A113" s="104"/>
      <c r="B113" s="109"/>
      <c r="C113" s="110"/>
      <c r="D113" s="99" t="s">
        <v>1100</v>
      </c>
      <c r="E113" s="100"/>
      <c r="F113" s="105" t="s">
        <v>843</v>
      </c>
      <c r="G113" s="102" t="s">
        <v>851</v>
      </c>
      <c r="H113" s="103" t="s">
        <v>1101</v>
      </c>
    </row>
    <row r="114">
      <c r="A114" s="104"/>
      <c r="B114" s="109"/>
      <c r="C114" s="110"/>
      <c r="D114" s="99" t="s">
        <v>1102</v>
      </c>
      <c r="E114" s="100"/>
      <c r="F114" s="106" t="s">
        <v>850</v>
      </c>
      <c r="G114" s="102" t="s">
        <v>846</v>
      </c>
      <c r="H114" s="103" t="s">
        <v>1103</v>
      </c>
    </row>
    <row r="115">
      <c r="A115" s="104"/>
      <c r="B115" s="109"/>
      <c r="C115" s="110"/>
      <c r="D115" s="99" t="s">
        <v>1104</v>
      </c>
      <c r="E115" s="100"/>
      <c r="F115" s="101" t="s">
        <v>832</v>
      </c>
      <c r="G115" s="102" t="s">
        <v>944</v>
      </c>
      <c r="H115" s="109"/>
    </row>
    <row r="116">
      <c r="A116" s="104"/>
      <c r="B116" s="109"/>
      <c r="C116" s="110"/>
      <c r="D116" s="109"/>
      <c r="E116" s="100"/>
      <c r="F116" s="111"/>
      <c r="G116" s="112"/>
      <c r="H116" s="109"/>
    </row>
    <row r="117">
      <c r="A117" s="104"/>
      <c r="B117" s="103" t="s">
        <v>1105</v>
      </c>
      <c r="C117" s="113" t="s">
        <v>651</v>
      </c>
      <c r="D117" s="99" t="s">
        <v>1106</v>
      </c>
      <c r="E117" s="100"/>
      <c r="F117" s="105" t="s">
        <v>843</v>
      </c>
      <c r="G117" s="102" t="s">
        <v>1107</v>
      </c>
      <c r="H117" s="103" t="s">
        <v>903</v>
      </c>
    </row>
    <row r="118">
      <c r="A118" s="104"/>
      <c r="B118" s="109"/>
      <c r="C118" s="110"/>
      <c r="D118" s="99" t="s">
        <v>1108</v>
      </c>
      <c r="E118" s="100"/>
      <c r="F118" s="106" t="s">
        <v>850</v>
      </c>
      <c r="G118" s="102" t="s">
        <v>851</v>
      </c>
      <c r="H118" s="103" t="s">
        <v>1109</v>
      </c>
    </row>
    <row r="119">
      <c r="A119" s="104"/>
      <c r="B119" s="109"/>
      <c r="C119" s="110"/>
      <c r="D119" s="99" t="s">
        <v>1110</v>
      </c>
      <c r="E119" s="100"/>
      <c r="F119" s="105" t="s">
        <v>843</v>
      </c>
      <c r="G119" s="102" t="s">
        <v>851</v>
      </c>
      <c r="H119" s="109"/>
    </row>
    <row r="120">
      <c r="A120" s="104"/>
      <c r="B120" s="109"/>
      <c r="C120" s="110"/>
      <c r="D120" s="99" t="s">
        <v>1111</v>
      </c>
      <c r="E120" s="100"/>
      <c r="F120" s="105" t="s">
        <v>843</v>
      </c>
      <c r="G120" s="102" t="s">
        <v>1112</v>
      </c>
      <c r="H120" s="103" t="s">
        <v>1113</v>
      </c>
    </row>
    <row r="121">
      <c r="A121" s="104"/>
      <c r="B121" s="109"/>
      <c r="C121" s="110"/>
      <c r="D121" s="109"/>
      <c r="E121" s="100"/>
      <c r="F121" s="111"/>
      <c r="G121" s="112"/>
      <c r="H121" s="109"/>
    </row>
    <row r="122">
      <c r="A122" s="104"/>
      <c r="B122" s="103" t="s">
        <v>1114</v>
      </c>
      <c r="C122" s="113" t="s">
        <v>758</v>
      </c>
      <c r="D122" s="99" t="s">
        <v>1115</v>
      </c>
      <c r="E122" s="100"/>
      <c r="F122" s="101" t="s">
        <v>832</v>
      </c>
      <c r="G122" s="102" t="s">
        <v>944</v>
      </c>
      <c r="H122" s="103" t="s">
        <v>1116</v>
      </c>
    </row>
    <row r="123">
      <c r="A123" s="104"/>
      <c r="B123" s="109"/>
      <c r="C123" s="110"/>
      <c r="D123" s="99" t="s">
        <v>1117</v>
      </c>
      <c r="E123" s="100"/>
      <c r="F123" s="101" t="s">
        <v>832</v>
      </c>
      <c r="G123" s="102" t="s">
        <v>833</v>
      </c>
      <c r="H123" s="109"/>
    </row>
    <row r="124">
      <c r="A124" s="104"/>
      <c r="B124" s="109"/>
      <c r="C124" s="110"/>
      <c r="D124" s="109"/>
      <c r="E124" s="100"/>
      <c r="F124" s="111"/>
      <c r="G124" s="112"/>
      <c r="H124" s="109"/>
    </row>
    <row r="125">
      <c r="A125" s="104"/>
      <c r="B125" s="103" t="s">
        <v>1118</v>
      </c>
      <c r="C125" s="113" t="s">
        <v>625</v>
      </c>
      <c r="D125" s="99" t="s">
        <v>1119</v>
      </c>
      <c r="E125" s="100"/>
      <c r="F125" s="114" t="s">
        <v>882</v>
      </c>
      <c r="G125" s="102" t="s">
        <v>833</v>
      </c>
      <c r="H125" s="103" t="s">
        <v>1120</v>
      </c>
    </row>
    <row r="126">
      <c r="A126" s="104"/>
      <c r="B126" s="109"/>
      <c r="C126" s="110"/>
      <c r="D126" s="99" t="s">
        <v>1121</v>
      </c>
      <c r="E126" s="100"/>
      <c r="F126" s="101" t="s">
        <v>832</v>
      </c>
      <c r="G126" s="102" t="s">
        <v>851</v>
      </c>
      <c r="H126" s="109"/>
    </row>
    <row r="127">
      <c r="A127" s="104"/>
      <c r="B127" s="109"/>
      <c r="C127" s="110"/>
      <c r="D127" s="109"/>
      <c r="E127" s="100"/>
      <c r="F127" s="111"/>
      <c r="G127" s="112"/>
      <c r="H127" s="109"/>
    </row>
    <row r="128">
      <c r="A128" s="104"/>
      <c r="B128" s="103" t="s">
        <v>1122</v>
      </c>
      <c r="C128" s="113" t="s">
        <v>771</v>
      </c>
      <c r="D128" s="99" t="s">
        <v>1123</v>
      </c>
      <c r="E128" s="100"/>
      <c r="F128" s="115" t="s">
        <v>898</v>
      </c>
      <c r="G128" s="102" t="s">
        <v>992</v>
      </c>
      <c r="H128" s="109"/>
    </row>
    <row r="129">
      <c r="A129" s="104"/>
      <c r="B129" s="109"/>
      <c r="C129" s="110"/>
      <c r="D129" s="109"/>
      <c r="E129" s="100"/>
      <c r="F129" s="111"/>
      <c r="G129" s="112"/>
      <c r="H129" s="109"/>
    </row>
    <row r="130">
      <c r="A130" s="104"/>
      <c r="B130" s="103" t="s">
        <v>1124</v>
      </c>
      <c r="C130" s="113" t="s">
        <v>625</v>
      </c>
      <c r="D130" s="99" t="s">
        <v>1125</v>
      </c>
      <c r="E130" s="100"/>
      <c r="F130" s="105" t="s">
        <v>843</v>
      </c>
      <c r="G130" s="102" t="s">
        <v>862</v>
      </c>
      <c r="H130" s="103" t="s">
        <v>903</v>
      </c>
    </row>
    <row r="131">
      <c r="A131" s="104"/>
      <c r="B131" s="109"/>
      <c r="C131" s="110"/>
      <c r="D131" s="99" t="s">
        <v>1126</v>
      </c>
      <c r="E131" s="100"/>
      <c r="F131" s="116" t="s">
        <v>958</v>
      </c>
      <c r="G131" s="102" t="s">
        <v>446</v>
      </c>
      <c r="H131" s="103" t="s">
        <v>1127</v>
      </c>
    </row>
    <row r="132">
      <c r="A132" s="104"/>
      <c r="B132" s="109"/>
      <c r="C132" s="110"/>
      <c r="D132" s="109"/>
      <c r="E132" s="100"/>
      <c r="F132" s="111"/>
      <c r="G132" s="112"/>
      <c r="H132" s="109"/>
    </row>
    <row r="133">
      <c r="A133" s="104"/>
      <c r="B133" s="103" t="s">
        <v>1128</v>
      </c>
      <c r="C133" s="113" t="s">
        <v>625</v>
      </c>
      <c r="D133" s="99" t="s">
        <v>1129</v>
      </c>
      <c r="E133" s="100"/>
      <c r="F133" s="101" t="s">
        <v>832</v>
      </c>
      <c r="G133" s="102" t="s">
        <v>846</v>
      </c>
      <c r="H133" s="109"/>
    </row>
    <row r="134">
      <c r="A134" s="104"/>
      <c r="B134" s="109"/>
      <c r="C134" s="110"/>
      <c r="D134" s="99" t="s">
        <v>1130</v>
      </c>
      <c r="E134" s="100"/>
      <c r="F134" s="105" t="s">
        <v>843</v>
      </c>
      <c r="G134" s="102" t="s">
        <v>846</v>
      </c>
      <c r="H134" s="109"/>
    </row>
    <row r="135">
      <c r="A135" s="104"/>
      <c r="B135" s="109"/>
      <c r="C135" s="110"/>
      <c r="D135" s="109"/>
      <c r="E135" s="100"/>
      <c r="F135" s="111"/>
      <c r="G135" s="112"/>
      <c r="H135" s="109"/>
    </row>
    <row r="136">
      <c r="A136" s="104"/>
      <c r="B136" s="103" t="s">
        <v>1131</v>
      </c>
      <c r="C136" s="113" t="s">
        <v>625</v>
      </c>
      <c r="D136" s="99" t="s">
        <v>1132</v>
      </c>
      <c r="E136" s="100"/>
      <c r="F136" s="105" t="s">
        <v>843</v>
      </c>
      <c r="G136" s="102" t="s">
        <v>851</v>
      </c>
      <c r="H136" s="103" t="s">
        <v>903</v>
      </c>
    </row>
    <row r="137">
      <c r="A137" s="104"/>
      <c r="B137" s="109"/>
      <c r="C137" s="110"/>
      <c r="D137" s="99" t="s">
        <v>1133</v>
      </c>
      <c r="E137" s="100"/>
      <c r="F137" s="105" t="s">
        <v>843</v>
      </c>
      <c r="G137" s="102" t="s">
        <v>992</v>
      </c>
      <c r="H137" s="109"/>
    </row>
    <row r="138">
      <c r="A138" s="107"/>
      <c r="B138" s="109"/>
      <c r="C138" s="110"/>
      <c r="D138" s="109"/>
      <c r="E138" s="100"/>
      <c r="F138" s="124"/>
      <c r="G138" s="112"/>
      <c r="H138" s="109"/>
    </row>
    <row r="139">
      <c r="A139" s="96" t="s">
        <v>1134</v>
      </c>
      <c r="B139" s="109"/>
      <c r="C139" s="110"/>
      <c r="D139" s="109"/>
      <c r="E139" s="100"/>
      <c r="F139" s="125"/>
      <c r="G139" s="112"/>
      <c r="H139" s="109"/>
    </row>
    <row r="140">
      <c r="A140" s="104"/>
      <c r="B140" s="103" t="s">
        <v>1135</v>
      </c>
      <c r="C140" s="113" t="s">
        <v>651</v>
      </c>
      <c r="D140" s="99" t="s">
        <v>1136</v>
      </c>
      <c r="E140" s="100"/>
      <c r="F140" s="116" t="s">
        <v>958</v>
      </c>
      <c r="G140" s="102" t="s">
        <v>446</v>
      </c>
      <c r="H140" s="103" t="s">
        <v>1137</v>
      </c>
    </row>
    <row r="141">
      <c r="A141" s="104"/>
      <c r="B141" s="109"/>
      <c r="C141" s="110"/>
      <c r="D141" s="109"/>
      <c r="E141" s="100"/>
      <c r="F141" s="111"/>
      <c r="G141" s="112"/>
      <c r="H141" s="109"/>
    </row>
    <row r="142">
      <c r="A142" s="107"/>
      <c r="B142" s="103" t="s">
        <v>1138</v>
      </c>
      <c r="C142" s="113" t="s">
        <v>625</v>
      </c>
      <c r="D142" s="99" t="s">
        <v>1139</v>
      </c>
      <c r="E142" s="100"/>
      <c r="F142" s="133" t="s">
        <v>843</v>
      </c>
      <c r="G142" s="102" t="s">
        <v>446</v>
      </c>
      <c r="H142" s="103" t="s">
        <v>1140</v>
      </c>
    </row>
    <row r="143">
      <c r="A143" s="134"/>
      <c r="B143" s="12"/>
      <c r="C143" s="135"/>
      <c r="D143" s="12"/>
      <c r="E143" s="136"/>
      <c r="H143" s="12"/>
    </row>
    <row r="144">
      <c r="A144" s="134"/>
      <c r="B144" s="12"/>
      <c r="C144" s="135"/>
      <c r="D144" s="12"/>
      <c r="E144" s="136"/>
      <c r="H144" s="12"/>
    </row>
    <row r="145">
      <c r="A145" s="134"/>
      <c r="B145" s="12"/>
      <c r="C145" s="135"/>
      <c r="D145" s="12"/>
      <c r="E145" s="136"/>
      <c r="H145" s="12"/>
    </row>
    <row r="146">
      <c r="A146" s="134"/>
      <c r="B146" s="12"/>
      <c r="C146" s="135"/>
      <c r="D146" s="12"/>
      <c r="E146" s="136"/>
      <c r="H146" s="12"/>
    </row>
    <row r="147">
      <c r="A147" s="134"/>
      <c r="B147" s="12"/>
      <c r="C147" s="135"/>
      <c r="D147" s="12"/>
      <c r="E147" s="136"/>
      <c r="H147" s="12"/>
    </row>
    <row r="148">
      <c r="A148" s="134"/>
      <c r="B148" s="12"/>
      <c r="C148" s="135"/>
      <c r="D148" s="12"/>
      <c r="E148" s="136"/>
      <c r="H148" s="12"/>
    </row>
    <row r="149">
      <c r="A149" s="134"/>
      <c r="B149" s="12"/>
      <c r="C149" s="135"/>
      <c r="D149" s="12"/>
      <c r="E149" s="136"/>
      <c r="H149" s="12"/>
    </row>
    <row r="150">
      <c r="A150" s="134"/>
      <c r="B150" s="12"/>
      <c r="C150" s="135"/>
      <c r="D150" s="12"/>
      <c r="E150" s="136"/>
      <c r="H150" s="12"/>
    </row>
    <row r="151">
      <c r="A151" s="134"/>
      <c r="B151" s="12"/>
      <c r="C151" s="135"/>
      <c r="D151" s="12"/>
      <c r="E151" s="136"/>
      <c r="H151" s="12"/>
    </row>
    <row r="152">
      <c r="A152" s="134"/>
      <c r="B152" s="12"/>
      <c r="C152" s="135"/>
      <c r="D152" s="12"/>
      <c r="E152" s="136"/>
      <c r="H152" s="12"/>
    </row>
    <row r="153">
      <c r="A153" s="134"/>
      <c r="B153" s="12"/>
      <c r="C153" s="135"/>
      <c r="D153" s="12"/>
      <c r="E153" s="136"/>
      <c r="H153" s="12"/>
    </row>
    <row r="154">
      <c r="A154" s="134"/>
      <c r="B154" s="12"/>
      <c r="C154" s="135"/>
      <c r="D154" s="12"/>
      <c r="E154" s="136"/>
      <c r="H154" s="12"/>
    </row>
    <row r="155">
      <c r="A155" s="134"/>
      <c r="B155" s="12"/>
      <c r="C155" s="135"/>
      <c r="D155" s="12"/>
      <c r="E155" s="136"/>
      <c r="H155" s="12"/>
    </row>
    <row r="156">
      <c r="A156" s="134"/>
      <c r="B156" s="12"/>
      <c r="C156" s="135"/>
      <c r="D156" s="12"/>
      <c r="E156" s="136"/>
      <c r="H156" s="12"/>
    </row>
    <row r="157">
      <c r="A157" s="134"/>
      <c r="B157" s="12"/>
      <c r="C157" s="135"/>
      <c r="D157" s="12"/>
      <c r="E157" s="136"/>
      <c r="H157" s="12"/>
    </row>
    <row r="158">
      <c r="A158" s="134"/>
      <c r="B158" s="12"/>
      <c r="C158" s="135"/>
      <c r="D158" s="12"/>
      <c r="E158" s="136"/>
      <c r="H158" s="12"/>
    </row>
    <row r="159">
      <c r="A159" s="134"/>
      <c r="B159" s="12"/>
      <c r="C159" s="135"/>
      <c r="D159" s="12"/>
      <c r="E159" s="136"/>
      <c r="H159" s="12"/>
    </row>
    <row r="160">
      <c r="A160" s="134"/>
      <c r="B160" s="12"/>
      <c r="C160" s="135"/>
      <c r="D160" s="12"/>
      <c r="E160" s="136"/>
      <c r="H160" s="12"/>
    </row>
    <row r="161">
      <c r="A161" s="134"/>
      <c r="B161" s="12"/>
      <c r="C161" s="135"/>
      <c r="D161" s="12"/>
      <c r="E161" s="136"/>
      <c r="H161" s="12"/>
    </row>
    <row r="162">
      <c r="A162" s="134"/>
      <c r="B162" s="12"/>
      <c r="C162" s="135"/>
      <c r="D162" s="12"/>
      <c r="E162" s="136"/>
      <c r="H162" s="12"/>
    </row>
    <row r="163">
      <c r="A163" s="134"/>
      <c r="B163" s="12"/>
      <c r="C163" s="135"/>
      <c r="D163" s="12"/>
      <c r="E163" s="136"/>
      <c r="H163" s="12"/>
    </row>
    <row r="164">
      <c r="A164" s="134"/>
      <c r="B164" s="12"/>
      <c r="C164" s="135"/>
      <c r="D164" s="12"/>
      <c r="E164" s="136"/>
      <c r="H164" s="12"/>
    </row>
    <row r="165">
      <c r="A165" s="134"/>
      <c r="B165" s="12"/>
      <c r="C165" s="135"/>
      <c r="D165" s="12"/>
      <c r="E165" s="136"/>
      <c r="H165" s="12"/>
    </row>
    <row r="166">
      <c r="A166" s="134"/>
      <c r="B166" s="12"/>
      <c r="C166" s="135"/>
      <c r="D166" s="12"/>
      <c r="E166" s="136"/>
      <c r="H166" s="12"/>
    </row>
    <row r="167">
      <c r="A167" s="134"/>
      <c r="B167" s="12"/>
      <c r="C167" s="135"/>
      <c r="D167" s="12"/>
      <c r="E167" s="136"/>
      <c r="H167" s="12"/>
    </row>
    <row r="168">
      <c r="A168" s="134"/>
      <c r="B168" s="12"/>
      <c r="C168" s="135"/>
      <c r="D168" s="12"/>
      <c r="E168" s="136"/>
      <c r="H168" s="12"/>
    </row>
    <row r="169">
      <c r="A169" s="134"/>
      <c r="B169" s="12"/>
      <c r="C169" s="135"/>
      <c r="D169" s="12"/>
      <c r="E169" s="136"/>
      <c r="H169" s="12"/>
    </row>
    <row r="170">
      <c r="A170" s="134"/>
      <c r="B170" s="12"/>
      <c r="C170" s="135"/>
      <c r="D170" s="12"/>
      <c r="E170" s="136"/>
      <c r="H170" s="12"/>
    </row>
    <row r="171">
      <c r="A171" s="134"/>
      <c r="B171" s="12"/>
      <c r="C171" s="135"/>
      <c r="D171" s="12"/>
      <c r="E171" s="136"/>
      <c r="H171" s="12"/>
    </row>
    <row r="172">
      <c r="A172" s="134"/>
      <c r="B172" s="12"/>
      <c r="C172" s="135"/>
      <c r="D172" s="12"/>
      <c r="E172" s="136"/>
      <c r="H172" s="12"/>
    </row>
    <row r="173">
      <c r="A173" s="134"/>
      <c r="B173" s="12"/>
      <c r="C173" s="135"/>
      <c r="D173" s="12"/>
      <c r="E173" s="136"/>
      <c r="H173" s="12"/>
    </row>
    <row r="174">
      <c r="A174" s="134"/>
      <c r="B174" s="12"/>
      <c r="C174" s="135"/>
      <c r="D174" s="12"/>
      <c r="E174" s="136"/>
      <c r="H174" s="12"/>
    </row>
    <row r="175">
      <c r="A175" s="134"/>
      <c r="B175" s="12"/>
      <c r="C175" s="135"/>
      <c r="D175" s="12"/>
      <c r="E175" s="136"/>
      <c r="H175" s="12"/>
    </row>
    <row r="176">
      <c r="A176" s="134"/>
      <c r="B176" s="12"/>
      <c r="C176" s="135"/>
      <c r="D176" s="12"/>
      <c r="E176" s="136"/>
      <c r="H176" s="12"/>
    </row>
    <row r="177">
      <c r="A177" s="134"/>
      <c r="B177" s="12"/>
      <c r="C177" s="135"/>
      <c r="D177" s="12"/>
      <c r="E177" s="136"/>
      <c r="H177" s="12"/>
    </row>
    <row r="178">
      <c r="A178" s="134"/>
      <c r="B178" s="12"/>
      <c r="C178" s="135"/>
      <c r="D178" s="12"/>
      <c r="E178" s="136"/>
      <c r="H178" s="12"/>
    </row>
    <row r="179">
      <c r="A179" s="134"/>
      <c r="B179" s="12"/>
      <c r="C179" s="135"/>
      <c r="D179" s="12"/>
      <c r="E179" s="136"/>
      <c r="H179" s="12"/>
    </row>
    <row r="180">
      <c r="A180" s="134"/>
      <c r="B180" s="12"/>
      <c r="C180" s="135"/>
      <c r="D180" s="12"/>
      <c r="E180" s="136"/>
      <c r="H180" s="12"/>
    </row>
    <row r="181">
      <c r="A181" s="134"/>
      <c r="B181" s="12"/>
      <c r="C181" s="135"/>
      <c r="D181" s="12"/>
      <c r="E181" s="136"/>
      <c r="H181" s="12"/>
    </row>
    <row r="182">
      <c r="A182" s="134"/>
      <c r="B182" s="12"/>
      <c r="C182" s="135"/>
      <c r="D182" s="12"/>
      <c r="E182" s="136"/>
      <c r="H182" s="12"/>
    </row>
    <row r="183">
      <c r="A183" s="134"/>
      <c r="B183" s="12"/>
      <c r="C183" s="135"/>
      <c r="D183" s="12"/>
      <c r="E183" s="136"/>
      <c r="H183" s="12"/>
    </row>
    <row r="184">
      <c r="A184" s="134"/>
      <c r="B184" s="12"/>
      <c r="C184" s="135"/>
      <c r="D184" s="12"/>
      <c r="E184" s="136"/>
      <c r="H184" s="12"/>
    </row>
    <row r="185">
      <c r="A185" s="134"/>
      <c r="B185" s="12"/>
      <c r="C185" s="135"/>
      <c r="D185" s="12"/>
      <c r="E185" s="136"/>
      <c r="H185" s="12"/>
    </row>
    <row r="186">
      <c r="A186" s="134"/>
      <c r="B186" s="12"/>
      <c r="C186" s="135"/>
      <c r="D186" s="12"/>
      <c r="E186" s="136"/>
      <c r="H186" s="12"/>
    </row>
    <row r="187">
      <c r="A187" s="134"/>
      <c r="B187" s="12"/>
      <c r="C187" s="135"/>
      <c r="D187" s="12"/>
      <c r="E187" s="136"/>
      <c r="H187" s="12"/>
    </row>
    <row r="188">
      <c r="A188" s="134"/>
      <c r="B188" s="12"/>
      <c r="C188" s="135"/>
      <c r="D188" s="12"/>
      <c r="E188" s="136"/>
      <c r="H188" s="12"/>
    </row>
    <row r="189">
      <c r="A189" s="134"/>
      <c r="B189" s="12"/>
      <c r="C189" s="135"/>
      <c r="D189" s="12"/>
      <c r="E189" s="136"/>
      <c r="H189" s="12"/>
    </row>
    <row r="190">
      <c r="A190" s="134"/>
      <c r="B190" s="12"/>
      <c r="C190" s="135"/>
      <c r="D190" s="12"/>
      <c r="E190" s="136"/>
      <c r="H190" s="12"/>
    </row>
    <row r="191">
      <c r="A191" s="134"/>
      <c r="B191" s="12"/>
      <c r="C191" s="135"/>
      <c r="D191" s="12"/>
      <c r="E191" s="136"/>
      <c r="H191" s="12"/>
    </row>
    <row r="192">
      <c r="A192" s="134"/>
      <c r="B192" s="12"/>
      <c r="C192" s="135"/>
      <c r="D192" s="12"/>
      <c r="E192" s="136"/>
      <c r="H192" s="12"/>
    </row>
    <row r="193">
      <c r="A193" s="134"/>
      <c r="B193" s="12"/>
      <c r="C193" s="135"/>
      <c r="D193" s="12"/>
      <c r="E193" s="136"/>
      <c r="H193" s="12"/>
    </row>
    <row r="194">
      <c r="A194" s="134"/>
      <c r="B194" s="12"/>
      <c r="C194" s="135"/>
      <c r="D194" s="12"/>
      <c r="E194" s="136"/>
      <c r="H194" s="12"/>
    </row>
    <row r="195">
      <c r="A195" s="134"/>
      <c r="B195" s="12"/>
      <c r="C195" s="135"/>
      <c r="D195" s="12"/>
      <c r="E195" s="136"/>
      <c r="H195" s="12"/>
    </row>
    <row r="196">
      <c r="A196" s="134"/>
      <c r="B196" s="12"/>
      <c r="C196" s="135"/>
      <c r="D196" s="12"/>
      <c r="E196" s="136"/>
      <c r="H196" s="12"/>
    </row>
    <row r="197">
      <c r="A197" s="134"/>
      <c r="B197" s="12"/>
      <c r="C197" s="135"/>
      <c r="D197" s="12"/>
      <c r="E197" s="136"/>
      <c r="H197" s="12"/>
    </row>
    <row r="198">
      <c r="A198" s="134"/>
      <c r="B198" s="12"/>
      <c r="C198" s="135"/>
      <c r="D198" s="12"/>
      <c r="E198" s="136"/>
      <c r="H198" s="12"/>
    </row>
    <row r="199">
      <c r="A199" s="134"/>
      <c r="B199" s="12"/>
      <c r="C199" s="135"/>
      <c r="D199" s="12"/>
      <c r="E199" s="136"/>
      <c r="H199" s="12"/>
    </row>
    <row r="200">
      <c r="A200" s="134"/>
      <c r="B200" s="12"/>
      <c r="C200" s="135"/>
      <c r="D200" s="12"/>
      <c r="E200" s="136"/>
      <c r="H200" s="12"/>
    </row>
    <row r="201">
      <c r="A201" s="134"/>
      <c r="B201" s="12"/>
      <c r="C201" s="135"/>
      <c r="D201" s="12"/>
      <c r="E201" s="136"/>
      <c r="H201" s="12"/>
    </row>
    <row r="202">
      <c r="A202" s="134"/>
      <c r="B202" s="12"/>
      <c r="C202" s="135"/>
      <c r="D202" s="12"/>
      <c r="E202" s="136"/>
      <c r="H202" s="12"/>
    </row>
    <row r="203">
      <c r="A203" s="134"/>
      <c r="B203" s="12"/>
      <c r="C203" s="135"/>
      <c r="D203" s="12"/>
      <c r="E203" s="136"/>
      <c r="H203" s="12"/>
    </row>
    <row r="204">
      <c r="A204" s="134"/>
      <c r="B204" s="12"/>
      <c r="C204" s="135"/>
      <c r="D204" s="12"/>
      <c r="E204" s="136"/>
      <c r="H204" s="12"/>
    </row>
    <row r="205">
      <c r="A205" s="134"/>
      <c r="B205" s="12"/>
      <c r="C205" s="135"/>
      <c r="D205" s="12"/>
      <c r="E205" s="136"/>
      <c r="H205" s="12"/>
    </row>
    <row r="206">
      <c r="A206" s="134"/>
      <c r="B206" s="12"/>
      <c r="C206" s="135"/>
      <c r="D206" s="12"/>
      <c r="E206" s="136"/>
      <c r="H206" s="12"/>
    </row>
    <row r="207">
      <c r="A207" s="134"/>
      <c r="B207" s="12"/>
      <c r="C207" s="135"/>
      <c r="D207" s="12"/>
      <c r="E207" s="136"/>
      <c r="H207" s="12"/>
    </row>
    <row r="208">
      <c r="A208" s="134"/>
      <c r="B208" s="12"/>
      <c r="C208" s="135"/>
      <c r="D208" s="12"/>
      <c r="E208" s="136"/>
      <c r="H208" s="12"/>
    </row>
    <row r="209">
      <c r="A209" s="134"/>
      <c r="B209" s="12"/>
      <c r="C209" s="135"/>
      <c r="D209" s="12"/>
      <c r="E209" s="136"/>
      <c r="H209" s="12"/>
    </row>
    <row r="210">
      <c r="A210" s="134"/>
      <c r="B210" s="12"/>
      <c r="C210" s="135"/>
      <c r="D210" s="12"/>
      <c r="E210" s="136"/>
      <c r="H210" s="12"/>
    </row>
    <row r="211">
      <c r="A211" s="134"/>
      <c r="B211" s="12"/>
      <c r="C211" s="135"/>
      <c r="D211" s="12"/>
      <c r="E211" s="136"/>
      <c r="H211" s="12"/>
    </row>
    <row r="212">
      <c r="A212" s="134"/>
      <c r="B212" s="12"/>
      <c r="C212" s="135"/>
      <c r="D212" s="12"/>
      <c r="E212" s="136"/>
      <c r="H212" s="12"/>
    </row>
    <row r="213">
      <c r="A213" s="134"/>
      <c r="B213" s="12"/>
      <c r="C213" s="135"/>
      <c r="D213" s="12"/>
      <c r="E213" s="136"/>
      <c r="H213" s="12"/>
    </row>
    <row r="214">
      <c r="A214" s="134"/>
      <c r="B214" s="12"/>
      <c r="C214" s="135"/>
      <c r="D214" s="12"/>
      <c r="E214" s="136"/>
      <c r="H214" s="12"/>
    </row>
    <row r="215">
      <c r="A215" s="134"/>
      <c r="B215" s="12"/>
      <c r="C215" s="135"/>
      <c r="D215" s="12"/>
      <c r="E215" s="136"/>
      <c r="H215" s="12"/>
    </row>
    <row r="216">
      <c r="A216" s="134"/>
      <c r="B216" s="12"/>
      <c r="C216" s="135"/>
      <c r="D216" s="12"/>
      <c r="E216" s="136"/>
      <c r="H216" s="12"/>
    </row>
    <row r="217">
      <c r="A217" s="134"/>
      <c r="B217" s="12"/>
      <c r="C217" s="135"/>
      <c r="D217" s="12"/>
      <c r="E217" s="136"/>
      <c r="H217" s="12"/>
    </row>
    <row r="218">
      <c r="A218" s="134"/>
      <c r="B218" s="12"/>
      <c r="C218" s="135"/>
      <c r="D218" s="12"/>
      <c r="E218" s="136"/>
      <c r="H218" s="12"/>
    </row>
    <row r="219">
      <c r="A219" s="134"/>
      <c r="B219" s="12"/>
      <c r="C219" s="135"/>
      <c r="D219" s="12"/>
      <c r="E219" s="136"/>
      <c r="H219" s="12"/>
    </row>
    <row r="220">
      <c r="A220" s="134"/>
      <c r="B220" s="12"/>
      <c r="C220" s="135"/>
      <c r="D220" s="12"/>
      <c r="E220" s="136"/>
      <c r="H220" s="12"/>
    </row>
    <row r="221">
      <c r="A221" s="134"/>
      <c r="B221" s="12"/>
      <c r="C221" s="135"/>
      <c r="D221" s="12"/>
      <c r="E221" s="136"/>
      <c r="H221" s="12"/>
    </row>
    <row r="222">
      <c r="A222" s="134"/>
      <c r="B222" s="12"/>
      <c r="C222" s="135"/>
      <c r="D222" s="12"/>
      <c r="E222" s="136"/>
      <c r="H222" s="12"/>
    </row>
    <row r="223">
      <c r="A223" s="134"/>
      <c r="B223" s="12"/>
      <c r="C223" s="135"/>
      <c r="D223" s="12"/>
      <c r="E223" s="136"/>
      <c r="H223" s="12"/>
    </row>
    <row r="224">
      <c r="A224" s="134"/>
      <c r="B224" s="12"/>
      <c r="C224" s="135"/>
      <c r="D224" s="12"/>
      <c r="E224" s="136"/>
      <c r="H224" s="12"/>
    </row>
    <row r="225">
      <c r="A225" s="134"/>
      <c r="B225" s="12"/>
      <c r="C225" s="135"/>
      <c r="D225" s="12"/>
      <c r="E225" s="136"/>
      <c r="H225" s="12"/>
    </row>
    <row r="226">
      <c r="A226" s="134"/>
      <c r="B226" s="12"/>
      <c r="C226" s="135"/>
      <c r="D226" s="12"/>
      <c r="E226" s="136"/>
      <c r="H226" s="12"/>
    </row>
    <row r="227">
      <c r="A227" s="134"/>
      <c r="B227" s="12"/>
      <c r="C227" s="135"/>
      <c r="D227" s="12"/>
      <c r="E227" s="136"/>
      <c r="H227" s="12"/>
    </row>
    <row r="228">
      <c r="A228" s="134"/>
      <c r="B228" s="12"/>
      <c r="C228" s="135"/>
      <c r="D228" s="12"/>
      <c r="E228" s="136"/>
      <c r="H228" s="12"/>
    </row>
    <row r="229">
      <c r="A229" s="134"/>
      <c r="B229" s="12"/>
      <c r="C229" s="135"/>
      <c r="D229" s="12"/>
      <c r="E229" s="136"/>
      <c r="H229" s="12"/>
    </row>
    <row r="230">
      <c r="A230" s="134"/>
      <c r="B230" s="12"/>
      <c r="C230" s="135"/>
      <c r="D230" s="12"/>
      <c r="E230" s="136"/>
      <c r="H230" s="12"/>
    </row>
    <row r="231">
      <c r="A231" s="134"/>
      <c r="B231" s="12"/>
      <c r="C231" s="135"/>
      <c r="D231" s="12"/>
      <c r="E231" s="136"/>
      <c r="H231" s="12"/>
    </row>
    <row r="232">
      <c r="A232" s="134"/>
      <c r="B232" s="12"/>
      <c r="C232" s="135"/>
      <c r="D232" s="12"/>
      <c r="E232" s="136"/>
      <c r="H232" s="12"/>
    </row>
    <row r="233">
      <c r="A233" s="134"/>
      <c r="B233" s="12"/>
      <c r="C233" s="135"/>
      <c r="D233" s="12"/>
      <c r="E233" s="136"/>
      <c r="H233" s="12"/>
    </row>
    <row r="234">
      <c r="A234" s="134"/>
      <c r="B234" s="12"/>
      <c r="C234" s="135"/>
      <c r="D234" s="12"/>
      <c r="E234" s="136"/>
      <c r="H234" s="12"/>
    </row>
    <row r="235">
      <c r="A235" s="134"/>
      <c r="B235" s="12"/>
      <c r="C235" s="135"/>
      <c r="D235" s="12"/>
      <c r="E235" s="136"/>
      <c r="H235" s="12"/>
    </row>
    <row r="236">
      <c r="A236" s="134"/>
      <c r="B236" s="12"/>
      <c r="C236" s="135"/>
      <c r="D236" s="12"/>
      <c r="E236" s="136"/>
      <c r="H236" s="12"/>
    </row>
    <row r="237">
      <c r="A237" s="134"/>
      <c r="B237" s="12"/>
      <c r="C237" s="135"/>
      <c r="D237" s="12"/>
      <c r="E237" s="136"/>
      <c r="H237" s="12"/>
    </row>
    <row r="238">
      <c r="A238" s="134"/>
      <c r="B238" s="12"/>
      <c r="C238" s="135"/>
      <c r="D238" s="12"/>
      <c r="E238" s="136"/>
      <c r="H238" s="12"/>
    </row>
    <row r="239">
      <c r="A239" s="134"/>
      <c r="B239" s="12"/>
      <c r="C239" s="135"/>
      <c r="D239" s="12"/>
      <c r="E239" s="136"/>
      <c r="H239" s="12"/>
    </row>
    <row r="240">
      <c r="A240" s="134"/>
      <c r="B240" s="12"/>
      <c r="C240" s="135"/>
      <c r="D240" s="12"/>
      <c r="E240" s="136"/>
      <c r="H240" s="12"/>
    </row>
    <row r="241">
      <c r="A241" s="134"/>
      <c r="B241" s="12"/>
      <c r="C241" s="135"/>
      <c r="D241" s="12"/>
      <c r="E241" s="136"/>
      <c r="H241" s="12"/>
    </row>
    <row r="242">
      <c r="A242" s="134"/>
      <c r="B242" s="12"/>
      <c r="C242" s="135"/>
      <c r="D242" s="12"/>
      <c r="E242" s="136"/>
      <c r="H242" s="12"/>
    </row>
    <row r="243">
      <c r="A243" s="134"/>
      <c r="B243" s="12"/>
      <c r="C243" s="135"/>
      <c r="D243" s="12"/>
      <c r="E243" s="136"/>
      <c r="H243" s="12"/>
    </row>
    <row r="244">
      <c r="A244" s="134"/>
      <c r="B244" s="12"/>
      <c r="C244" s="135"/>
      <c r="D244" s="12"/>
      <c r="E244" s="136"/>
      <c r="H244" s="12"/>
    </row>
    <row r="245">
      <c r="A245" s="134"/>
      <c r="B245" s="12"/>
      <c r="C245" s="135"/>
      <c r="D245" s="12"/>
      <c r="E245" s="136"/>
      <c r="H245" s="12"/>
    </row>
    <row r="246">
      <c r="A246" s="134"/>
      <c r="B246" s="12"/>
      <c r="C246" s="135"/>
      <c r="D246" s="12"/>
      <c r="E246" s="136"/>
      <c r="H246" s="12"/>
    </row>
    <row r="247">
      <c r="A247" s="134"/>
      <c r="B247" s="12"/>
      <c r="C247" s="135"/>
      <c r="D247" s="12"/>
      <c r="E247" s="136"/>
      <c r="H247" s="12"/>
    </row>
    <row r="248">
      <c r="A248" s="134"/>
      <c r="B248" s="12"/>
      <c r="C248" s="135"/>
      <c r="D248" s="12"/>
      <c r="E248" s="136"/>
      <c r="H248" s="12"/>
    </row>
    <row r="249">
      <c r="A249" s="134"/>
      <c r="B249" s="12"/>
      <c r="C249" s="135"/>
      <c r="D249" s="12"/>
      <c r="E249" s="136"/>
      <c r="H249" s="12"/>
    </row>
    <row r="250">
      <c r="A250" s="134"/>
      <c r="B250" s="12"/>
      <c r="C250" s="135"/>
      <c r="D250" s="12"/>
      <c r="E250" s="136"/>
      <c r="H250" s="12"/>
    </row>
    <row r="251">
      <c r="A251" s="134"/>
      <c r="B251" s="12"/>
      <c r="C251" s="135"/>
      <c r="D251" s="12"/>
      <c r="E251" s="136"/>
      <c r="H251" s="12"/>
    </row>
    <row r="252">
      <c r="A252" s="134"/>
      <c r="B252" s="12"/>
      <c r="C252" s="135"/>
      <c r="D252" s="12"/>
      <c r="E252" s="136"/>
      <c r="H252" s="12"/>
    </row>
    <row r="253">
      <c r="A253" s="134"/>
      <c r="B253" s="12"/>
      <c r="C253" s="135"/>
      <c r="D253" s="12"/>
      <c r="E253" s="136"/>
      <c r="H253" s="12"/>
    </row>
    <row r="254">
      <c r="A254" s="134"/>
      <c r="B254" s="12"/>
      <c r="C254" s="135"/>
      <c r="D254" s="12"/>
      <c r="E254" s="136"/>
      <c r="H254" s="12"/>
    </row>
    <row r="255">
      <c r="A255" s="134"/>
      <c r="B255" s="12"/>
      <c r="C255" s="135"/>
      <c r="D255" s="12"/>
      <c r="E255" s="136"/>
      <c r="H255" s="12"/>
    </row>
    <row r="256">
      <c r="A256" s="134"/>
      <c r="B256" s="12"/>
      <c r="C256" s="135"/>
      <c r="D256" s="12"/>
      <c r="E256" s="136"/>
      <c r="H256" s="12"/>
    </row>
    <row r="257">
      <c r="A257" s="134"/>
      <c r="B257" s="12"/>
      <c r="C257" s="135"/>
      <c r="D257" s="12"/>
      <c r="E257" s="136"/>
      <c r="H257" s="12"/>
    </row>
    <row r="258">
      <c r="A258" s="134"/>
      <c r="B258" s="12"/>
      <c r="C258" s="135"/>
      <c r="D258" s="12"/>
      <c r="E258" s="136"/>
      <c r="H258" s="12"/>
    </row>
    <row r="259">
      <c r="A259" s="134"/>
      <c r="B259" s="12"/>
      <c r="C259" s="135"/>
      <c r="D259" s="12"/>
      <c r="E259" s="136"/>
      <c r="H259" s="12"/>
    </row>
    <row r="260">
      <c r="A260" s="134"/>
      <c r="B260" s="12"/>
      <c r="C260" s="135"/>
      <c r="D260" s="12"/>
      <c r="E260" s="136"/>
      <c r="H260" s="12"/>
    </row>
    <row r="261">
      <c r="A261" s="134"/>
      <c r="B261" s="12"/>
      <c r="C261" s="135"/>
      <c r="D261" s="12"/>
      <c r="E261" s="136"/>
      <c r="H261" s="12"/>
    </row>
    <row r="262">
      <c r="A262" s="134"/>
      <c r="B262" s="12"/>
      <c r="C262" s="135"/>
      <c r="D262" s="12"/>
      <c r="E262" s="136"/>
      <c r="H262" s="12"/>
    </row>
    <row r="263">
      <c r="A263" s="134"/>
      <c r="B263" s="12"/>
      <c r="C263" s="135"/>
      <c r="D263" s="12"/>
      <c r="E263" s="136"/>
      <c r="H263" s="12"/>
    </row>
    <row r="264">
      <c r="A264" s="134"/>
      <c r="B264" s="12"/>
      <c r="C264" s="135"/>
      <c r="D264" s="12"/>
      <c r="E264" s="136"/>
      <c r="H264" s="12"/>
    </row>
    <row r="265">
      <c r="A265" s="134"/>
      <c r="B265" s="12"/>
      <c r="C265" s="135"/>
      <c r="D265" s="12"/>
      <c r="E265" s="136"/>
      <c r="H265" s="12"/>
    </row>
    <row r="266">
      <c r="A266" s="134"/>
      <c r="B266" s="12"/>
      <c r="C266" s="135"/>
      <c r="D266" s="12"/>
      <c r="E266" s="136"/>
      <c r="H266" s="12"/>
    </row>
    <row r="267">
      <c r="A267" s="134"/>
      <c r="B267" s="12"/>
      <c r="C267" s="135"/>
      <c r="D267" s="12"/>
      <c r="E267" s="136"/>
      <c r="H267" s="12"/>
    </row>
    <row r="268">
      <c r="A268" s="134"/>
      <c r="B268" s="12"/>
      <c r="C268" s="135"/>
      <c r="D268" s="12"/>
      <c r="E268" s="136"/>
      <c r="H268" s="12"/>
    </row>
    <row r="269">
      <c r="A269" s="134"/>
      <c r="B269" s="12"/>
      <c r="C269" s="135"/>
      <c r="D269" s="12"/>
      <c r="E269" s="136"/>
      <c r="H269" s="12"/>
    </row>
    <row r="270">
      <c r="A270" s="134"/>
      <c r="B270" s="12"/>
      <c r="C270" s="135"/>
      <c r="D270" s="12"/>
      <c r="E270" s="136"/>
      <c r="H270" s="12"/>
    </row>
    <row r="271">
      <c r="A271" s="134"/>
      <c r="B271" s="12"/>
      <c r="C271" s="135"/>
      <c r="D271" s="12"/>
      <c r="E271" s="136"/>
      <c r="H271" s="12"/>
    </row>
    <row r="272">
      <c r="A272" s="134"/>
      <c r="B272" s="12"/>
      <c r="C272" s="135"/>
      <c r="D272" s="12"/>
      <c r="E272" s="136"/>
      <c r="H272" s="12"/>
    </row>
    <row r="273">
      <c r="A273" s="134"/>
      <c r="B273" s="12"/>
      <c r="C273" s="135"/>
      <c r="D273" s="12"/>
      <c r="E273" s="136"/>
      <c r="H273" s="12"/>
    </row>
    <row r="274">
      <c r="A274" s="134"/>
      <c r="B274" s="12"/>
      <c r="C274" s="135"/>
      <c r="D274" s="12"/>
      <c r="E274" s="136"/>
      <c r="H274" s="12"/>
    </row>
    <row r="275">
      <c r="A275" s="134"/>
      <c r="B275" s="12"/>
      <c r="C275" s="135"/>
      <c r="D275" s="12"/>
      <c r="E275" s="136"/>
      <c r="H275" s="12"/>
    </row>
    <row r="276">
      <c r="A276" s="134"/>
      <c r="B276" s="12"/>
      <c r="C276" s="135"/>
      <c r="D276" s="12"/>
      <c r="E276" s="136"/>
      <c r="H276" s="12"/>
    </row>
    <row r="277">
      <c r="A277" s="134"/>
      <c r="B277" s="12"/>
      <c r="C277" s="135"/>
      <c r="D277" s="12"/>
      <c r="E277" s="136"/>
      <c r="H277" s="12"/>
    </row>
    <row r="278">
      <c r="A278" s="134"/>
      <c r="B278" s="12"/>
      <c r="C278" s="135"/>
      <c r="D278" s="12"/>
      <c r="E278" s="136"/>
      <c r="H278" s="12"/>
    </row>
    <row r="279">
      <c r="A279" s="134"/>
      <c r="B279" s="12"/>
      <c r="C279" s="135"/>
      <c r="D279" s="12"/>
      <c r="E279" s="136"/>
      <c r="H279" s="12"/>
    </row>
    <row r="280">
      <c r="A280" s="134"/>
      <c r="B280" s="12"/>
      <c r="C280" s="135"/>
      <c r="D280" s="12"/>
      <c r="E280" s="136"/>
      <c r="H280" s="12"/>
    </row>
    <row r="281">
      <c r="A281" s="134"/>
      <c r="B281" s="12"/>
      <c r="C281" s="135"/>
      <c r="D281" s="12"/>
      <c r="E281" s="136"/>
      <c r="H281" s="12"/>
    </row>
    <row r="282">
      <c r="A282" s="134"/>
      <c r="B282" s="12"/>
      <c r="C282" s="135"/>
      <c r="D282" s="12"/>
      <c r="E282" s="136"/>
      <c r="H282" s="12"/>
    </row>
    <row r="283">
      <c r="A283" s="134"/>
      <c r="B283" s="12"/>
      <c r="C283" s="135"/>
      <c r="D283" s="12"/>
      <c r="E283" s="136"/>
      <c r="H283" s="12"/>
    </row>
    <row r="284">
      <c r="A284" s="134"/>
      <c r="B284" s="12"/>
      <c r="C284" s="135"/>
      <c r="D284" s="12"/>
      <c r="E284" s="136"/>
      <c r="H284" s="12"/>
    </row>
    <row r="285">
      <c r="A285" s="134"/>
      <c r="B285" s="12"/>
      <c r="C285" s="135"/>
      <c r="D285" s="12"/>
      <c r="E285" s="136"/>
      <c r="H285" s="12"/>
    </row>
    <row r="286">
      <c r="A286" s="134"/>
      <c r="B286" s="12"/>
      <c r="C286" s="135"/>
      <c r="D286" s="12"/>
      <c r="E286" s="136"/>
      <c r="H286" s="12"/>
    </row>
    <row r="287">
      <c r="A287" s="134"/>
      <c r="B287" s="12"/>
      <c r="C287" s="135"/>
      <c r="D287" s="12"/>
      <c r="E287" s="136"/>
      <c r="H287" s="12"/>
    </row>
    <row r="288">
      <c r="A288" s="134"/>
      <c r="B288" s="12"/>
      <c r="C288" s="135"/>
      <c r="D288" s="12"/>
      <c r="E288" s="136"/>
      <c r="H288" s="12"/>
    </row>
    <row r="289">
      <c r="A289" s="134"/>
      <c r="B289" s="12"/>
      <c r="C289" s="135"/>
      <c r="D289" s="12"/>
      <c r="E289" s="136"/>
      <c r="H289" s="12"/>
    </row>
    <row r="290">
      <c r="A290" s="134"/>
      <c r="B290" s="12"/>
      <c r="C290" s="135"/>
      <c r="D290" s="12"/>
      <c r="E290" s="136"/>
      <c r="H290" s="12"/>
    </row>
    <row r="291">
      <c r="A291" s="134"/>
      <c r="B291" s="12"/>
      <c r="C291" s="135"/>
      <c r="D291" s="12"/>
      <c r="E291" s="136"/>
      <c r="H291" s="12"/>
    </row>
    <row r="292">
      <c r="A292" s="134"/>
      <c r="B292" s="12"/>
      <c r="C292" s="135"/>
      <c r="D292" s="12"/>
      <c r="E292" s="136"/>
      <c r="H292" s="12"/>
    </row>
    <row r="293">
      <c r="A293" s="134"/>
      <c r="B293" s="12"/>
      <c r="C293" s="135"/>
      <c r="D293" s="12"/>
      <c r="E293" s="136"/>
      <c r="H293" s="12"/>
    </row>
    <row r="294">
      <c r="A294" s="134"/>
      <c r="B294" s="12"/>
      <c r="C294" s="135"/>
      <c r="D294" s="12"/>
      <c r="E294" s="136"/>
      <c r="H294" s="12"/>
    </row>
    <row r="295">
      <c r="A295" s="134"/>
      <c r="B295" s="12"/>
      <c r="C295" s="135"/>
      <c r="D295" s="12"/>
      <c r="E295" s="136"/>
      <c r="H295" s="12"/>
    </row>
    <row r="296">
      <c r="A296" s="134"/>
      <c r="B296" s="12"/>
      <c r="C296" s="135"/>
      <c r="D296" s="12"/>
      <c r="E296" s="136"/>
      <c r="H296" s="12"/>
    </row>
    <row r="297">
      <c r="A297" s="134"/>
      <c r="B297" s="12"/>
      <c r="C297" s="135"/>
      <c r="D297" s="12"/>
      <c r="E297" s="136"/>
      <c r="H297" s="12"/>
    </row>
    <row r="298">
      <c r="A298" s="134"/>
      <c r="B298" s="12"/>
      <c r="C298" s="135"/>
      <c r="D298" s="12"/>
      <c r="E298" s="136"/>
      <c r="H298" s="12"/>
    </row>
    <row r="299">
      <c r="A299" s="134"/>
      <c r="B299" s="12"/>
      <c r="C299" s="135"/>
      <c r="D299" s="12"/>
      <c r="E299" s="136"/>
      <c r="H299" s="12"/>
    </row>
    <row r="300">
      <c r="A300" s="134"/>
      <c r="B300" s="12"/>
      <c r="C300" s="135"/>
      <c r="D300" s="12"/>
      <c r="E300" s="136"/>
      <c r="H300" s="12"/>
    </row>
    <row r="301">
      <c r="A301" s="134"/>
      <c r="B301" s="12"/>
      <c r="C301" s="135"/>
      <c r="D301" s="12"/>
      <c r="E301" s="136"/>
      <c r="H301" s="12"/>
    </row>
    <row r="302">
      <c r="A302" s="134"/>
      <c r="B302" s="12"/>
      <c r="C302" s="135"/>
      <c r="D302" s="12"/>
      <c r="E302" s="136"/>
      <c r="H302" s="12"/>
    </row>
    <row r="303">
      <c r="A303" s="134"/>
      <c r="B303" s="12"/>
      <c r="C303" s="135"/>
      <c r="D303" s="12"/>
      <c r="E303" s="136"/>
      <c r="H303" s="12"/>
    </row>
    <row r="304">
      <c r="A304" s="134"/>
      <c r="B304" s="12"/>
      <c r="C304" s="135"/>
      <c r="D304" s="12"/>
      <c r="E304" s="136"/>
      <c r="H304" s="12"/>
    </row>
    <row r="305">
      <c r="A305" s="134"/>
      <c r="B305" s="12"/>
      <c r="C305" s="135"/>
      <c r="D305" s="12"/>
      <c r="E305" s="136"/>
      <c r="H305" s="12"/>
    </row>
    <row r="306">
      <c r="A306" s="134"/>
      <c r="B306" s="12"/>
      <c r="C306" s="135"/>
      <c r="D306" s="12"/>
      <c r="E306" s="136"/>
      <c r="H306" s="12"/>
    </row>
    <row r="307">
      <c r="A307" s="134"/>
      <c r="B307" s="12"/>
      <c r="C307" s="135"/>
      <c r="D307" s="12"/>
      <c r="E307" s="136"/>
      <c r="H307" s="12"/>
    </row>
    <row r="308">
      <c r="A308" s="134"/>
      <c r="B308" s="12"/>
      <c r="C308" s="135"/>
      <c r="D308" s="12"/>
      <c r="E308" s="136"/>
      <c r="H308" s="12"/>
    </row>
    <row r="309">
      <c r="A309" s="134"/>
      <c r="B309" s="12"/>
      <c r="C309" s="135"/>
      <c r="D309" s="12"/>
      <c r="E309" s="136"/>
      <c r="H309" s="12"/>
    </row>
    <row r="310">
      <c r="A310" s="134"/>
      <c r="B310" s="12"/>
      <c r="C310" s="135"/>
      <c r="D310" s="12"/>
      <c r="E310" s="136"/>
      <c r="H310" s="12"/>
    </row>
    <row r="311">
      <c r="A311" s="134"/>
      <c r="B311" s="12"/>
      <c r="C311" s="135"/>
      <c r="D311" s="12"/>
      <c r="E311" s="136"/>
      <c r="H311" s="12"/>
    </row>
    <row r="312">
      <c r="A312" s="134"/>
      <c r="B312" s="12"/>
      <c r="C312" s="135"/>
      <c r="D312" s="12"/>
      <c r="E312" s="136"/>
      <c r="H312" s="12"/>
    </row>
    <row r="313">
      <c r="A313" s="134"/>
      <c r="B313" s="12"/>
      <c r="C313" s="135"/>
      <c r="D313" s="12"/>
      <c r="E313" s="136"/>
      <c r="H313" s="12"/>
    </row>
    <row r="314">
      <c r="A314" s="134"/>
      <c r="B314" s="12"/>
      <c r="C314" s="135"/>
      <c r="D314" s="12"/>
      <c r="E314" s="136"/>
      <c r="H314" s="12"/>
    </row>
    <row r="315">
      <c r="A315" s="134"/>
      <c r="B315" s="12"/>
      <c r="C315" s="135"/>
      <c r="D315" s="12"/>
      <c r="E315" s="136"/>
      <c r="H315" s="12"/>
    </row>
    <row r="316">
      <c r="A316" s="134"/>
      <c r="B316" s="12"/>
      <c r="C316" s="135"/>
      <c r="D316" s="12"/>
      <c r="E316" s="136"/>
      <c r="H316" s="12"/>
    </row>
    <row r="317">
      <c r="A317" s="134"/>
      <c r="B317" s="12"/>
      <c r="C317" s="135"/>
      <c r="D317" s="12"/>
      <c r="E317" s="136"/>
      <c r="H317" s="12"/>
    </row>
    <row r="318">
      <c r="A318" s="134"/>
      <c r="B318" s="12"/>
      <c r="C318" s="135"/>
      <c r="D318" s="12"/>
      <c r="E318" s="136"/>
      <c r="H318" s="12"/>
    </row>
    <row r="319">
      <c r="A319" s="134"/>
      <c r="B319" s="12"/>
      <c r="C319" s="135"/>
      <c r="D319" s="12"/>
      <c r="E319" s="136"/>
      <c r="H319" s="12"/>
    </row>
    <row r="320">
      <c r="A320" s="134"/>
      <c r="B320" s="12"/>
      <c r="C320" s="135"/>
      <c r="D320" s="12"/>
      <c r="E320" s="136"/>
      <c r="H320" s="12"/>
    </row>
    <row r="321">
      <c r="A321" s="134"/>
      <c r="B321" s="12"/>
      <c r="C321" s="135"/>
      <c r="D321" s="12"/>
      <c r="E321" s="136"/>
      <c r="H321" s="12"/>
    </row>
    <row r="322">
      <c r="A322" s="134"/>
      <c r="B322" s="12"/>
      <c r="C322" s="135"/>
      <c r="D322" s="12"/>
      <c r="E322" s="136"/>
      <c r="H322" s="12"/>
    </row>
    <row r="323">
      <c r="A323" s="134"/>
      <c r="B323" s="12"/>
      <c r="C323" s="135"/>
      <c r="D323" s="12"/>
      <c r="E323" s="136"/>
      <c r="H323" s="12"/>
    </row>
    <row r="324">
      <c r="A324" s="134"/>
      <c r="B324" s="12"/>
      <c r="C324" s="135"/>
      <c r="D324" s="12"/>
      <c r="E324" s="136"/>
      <c r="H324" s="12"/>
    </row>
    <row r="325">
      <c r="A325" s="134"/>
      <c r="B325" s="12"/>
      <c r="C325" s="135"/>
      <c r="D325" s="12"/>
      <c r="E325" s="136"/>
      <c r="H325" s="12"/>
    </row>
    <row r="326">
      <c r="A326" s="134"/>
      <c r="B326" s="12"/>
      <c r="C326" s="135"/>
      <c r="D326" s="12"/>
      <c r="E326" s="136"/>
      <c r="H326" s="12"/>
    </row>
    <row r="327">
      <c r="A327" s="134"/>
      <c r="B327" s="12"/>
      <c r="C327" s="135"/>
      <c r="D327" s="12"/>
      <c r="E327" s="136"/>
      <c r="H327" s="12"/>
    </row>
    <row r="328">
      <c r="A328" s="134"/>
      <c r="B328" s="12"/>
      <c r="C328" s="135"/>
      <c r="D328" s="12"/>
      <c r="E328" s="136"/>
      <c r="H328" s="12"/>
    </row>
    <row r="329">
      <c r="A329" s="134"/>
      <c r="B329" s="12"/>
      <c r="C329" s="135"/>
      <c r="D329" s="12"/>
      <c r="E329" s="136"/>
      <c r="H329" s="12"/>
    </row>
    <row r="330">
      <c r="A330" s="134"/>
      <c r="B330" s="12"/>
      <c r="C330" s="135"/>
      <c r="D330" s="12"/>
      <c r="E330" s="136"/>
      <c r="H330" s="12"/>
    </row>
    <row r="331">
      <c r="A331" s="134"/>
      <c r="B331" s="12"/>
      <c r="C331" s="135"/>
      <c r="D331" s="12"/>
      <c r="E331" s="136"/>
      <c r="H331" s="12"/>
    </row>
    <row r="332">
      <c r="A332" s="134"/>
      <c r="B332" s="12"/>
      <c r="C332" s="135"/>
      <c r="D332" s="12"/>
      <c r="E332" s="136"/>
      <c r="H332" s="12"/>
    </row>
    <row r="333">
      <c r="A333" s="134"/>
      <c r="B333" s="12"/>
      <c r="C333" s="135"/>
      <c r="D333" s="12"/>
      <c r="E333" s="136"/>
      <c r="H333" s="12"/>
    </row>
    <row r="334">
      <c r="A334" s="134"/>
      <c r="B334" s="12"/>
      <c r="C334" s="135"/>
      <c r="D334" s="12"/>
      <c r="E334" s="136"/>
      <c r="H334" s="12"/>
    </row>
    <row r="335">
      <c r="A335" s="134"/>
      <c r="B335" s="12"/>
      <c r="C335" s="135"/>
      <c r="D335" s="12"/>
      <c r="E335" s="136"/>
      <c r="H335" s="12"/>
    </row>
    <row r="336">
      <c r="A336" s="134"/>
      <c r="B336" s="12"/>
      <c r="C336" s="135"/>
      <c r="D336" s="12"/>
      <c r="E336" s="136"/>
      <c r="H336" s="12"/>
    </row>
    <row r="337">
      <c r="A337" s="134"/>
      <c r="B337" s="12"/>
      <c r="C337" s="135"/>
      <c r="D337" s="12"/>
      <c r="E337" s="136"/>
      <c r="H337" s="12"/>
    </row>
    <row r="338">
      <c r="A338" s="134"/>
      <c r="B338" s="12"/>
      <c r="C338" s="135"/>
      <c r="D338" s="12"/>
      <c r="E338" s="136"/>
      <c r="H338" s="12"/>
    </row>
    <row r="339">
      <c r="A339" s="134"/>
      <c r="B339" s="12"/>
      <c r="C339" s="135"/>
      <c r="D339" s="12"/>
      <c r="E339" s="136"/>
      <c r="H339" s="12"/>
    </row>
    <row r="340">
      <c r="A340" s="134"/>
      <c r="B340" s="12"/>
      <c r="C340" s="135"/>
      <c r="D340" s="12"/>
      <c r="E340" s="136"/>
      <c r="H340" s="12"/>
    </row>
    <row r="341">
      <c r="A341" s="134"/>
      <c r="B341" s="12"/>
      <c r="C341" s="135"/>
      <c r="D341" s="12"/>
      <c r="E341" s="136"/>
      <c r="H341" s="12"/>
    </row>
    <row r="342">
      <c r="A342" s="134"/>
      <c r="B342" s="12"/>
      <c r="C342" s="135"/>
      <c r="D342" s="12"/>
      <c r="E342" s="136"/>
      <c r="H342" s="12"/>
    </row>
    <row r="343">
      <c r="A343" s="134"/>
      <c r="B343" s="12"/>
      <c r="C343" s="135"/>
      <c r="D343" s="12"/>
      <c r="E343" s="136"/>
      <c r="H343" s="12"/>
    </row>
    <row r="344">
      <c r="A344" s="134"/>
      <c r="B344" s="12"/>
      <c r="C344" s="135"/>
      <c r="D344" s="12"/>
      <c r="E344" s="136"/>
      <c r="H344" s="12"/>
    </row>
    <row r="345">
      <c r="A345" s="134"/>
      <c r="B345" s="12"/>
      <c r="C345" s="135"/>
      <c r="D345" s="12"/>
      <c r="E345" s="136"/>
      <c r="H345" s="12"/>
    </row>
    <row r="346">
      <c r="A346" s="134"/>
      <c r="B346" s="12"/>
      <c r="C346" s="135"/>
      <c r="D346" s="12"/>
      <c r="E346" s="136"/>
      <c r="H346" s="12"/>
    </row>
    <row r="347">
      <c r="A347" s="134"/>
      <c r="B347" s="12"/>
      <c r="C347" s="135"/>
      <c r="D347" s="12"/>
      <c r="E347" s="136"/>
      <c r="H347" s="12"/>
    </row>
    <row r="348">
      <c r="A348" s="134"/>
      <c r="B348" s="12"/>
      <c r="C348" s="135"/>
      <c r="D348" s="12"/>
      <c r="E348" s="136"/>
      <c r="H348" s="12"/>
    </row>
    <row r="349">
      <c r="A349" s="134"/>
      <c r="B349" s="12"/>
      <c r="C349" s="135"/>
      <c r="D349" s="12"/>
      <c r="E349" s="136"/>
      <c r="H349" s="12"/>
    </row>
    <row r="350">
      <c r="A350" s="134"/>
      <c r="B350" s="12"/>
      <c r="C350" s="135"/>
      <c r="D350" s="12"/>
      <c r="E350" s="136"/>
      <c r="H350" s="12"/>
    </row>
    <row r="351">
      <c r="A351" s="134"/>
      <c r="B351" s="12"/>
      <c r="C351" s="135"/>
      <c r="D351" s="12"/>
      <c r="E351" s="136"/>
      <c r="H351" s="12"/>
    </row>
    <row r="352">
      <c r="A352" s="134"/>
      <c r="B352" s="12"/>
      <c r="C352" s="135"/>
      <c r="D352" s="12"/>
      <c r="E352" s="136"/>
      <c r="H352" s="12"/>
    </row>
    <row r="353">
      <c r="A353" s="134"/>
      <c r="B353" s="12"/>
      <c r="C353" s="135"/>
      <c r="D353" s="12"/>
      <c r="E353" s="136"/>
      <c r="H353" s="12"/>
    </row>
    <row r="354">
      <c r="A354" s="134"/>
      <c r="B354" s="12"/>
      <c r="C354" s="135"/>
      <c r="D354" s="12"/>
      <c r="E354" s="136"/>
      <c r="H354" s="12"/>
    </row>
    <row r="355">
      <c r="A355" s="134"/>
      <c r="B355" s="12"/>
      <c r="C355" s="135"/>
      <c r="D355" s="12"/>
      <c r="E355" s="136"/>
      <c r="H355" s="12"/>
    </row>
    <row r="356">
      <c r="A356" s="134"/>
      <c r="B356" s="12"/>
      <c r="C356" s="135"/>
      <c r="D356" s="12"/>
      <c r="E356" s="136"/>
      <c r="H356" s="12"/>
    </row>
    <row r="357">
      <c r="A357" s="134"/>
      <c r="B357" s="12"/>
      <c r="C357" s="135"/>
      <c r="D357" s="12"/>
      <c r="E357" s="136"/>
      <c r="H357" s="12"/>
    </row>
    <row r="358">
      <c r="A358" s="134"/>
      <c r="B358" s="12"/>
      <c r="C358" s="135"/>
      <c r="D358" s="12"/>
      <c r="E358" s="136"/>
      <c r="H358" s="12"/>
    </row>
    <row r="359">
      <c r="A359" s="134"/>
      <c r="B359" s="12"/>
      <c r="C359" s="135"/>
      <c r="D359" s="12"/>
      <c r="E359" s="136"/>
      <c r="H359" s="12"/>
    </row>
    <row r="360">
      <c r="A360" s="134"/>
      <c r="B360" s="12"/>
      <c r="C360" s="135"/>
      <c r="D360" s="12"/>
      <c r="E360" s="136"/>
      <c r="H360" s="12"/>
    </row>
    <row r="361">
      <c r="A361" s="134"/>
      <c r="B361" s="12"/>
      <c r="C361" s="135"/>
      <c r="D361" s="12"/>
      <c r="E361" s="136"/>
      <c r="H361" s="12"/>
    </row>
    <row r="362">
      <c r="A362" s="134"/>
      <c r="B362" s="12"/>
      <c r="C362" s="135"/>
      <c r="D362" s="12"/>
      <c r="E362" s="136"/>
      <c r="H362" s="12"/>
    </row>
    <row r="363">
      <c r="A363" s="134"/>
      <c r="B363" s="12"/>
      <c r="C363" s="135"/>
      <c r="D363" s="12"/>
      <c r="E363" s="136"/>
      <c r="H363" s="12"/>
    </row>
    <row r="364">
      <c r="A364" s="134"/>
      <c r="B364" s="12"/>
      <c r="C364" s="135"/>
      <c r="D364" s="12"/>
      <c r="E364" s="136"/>
      <c r="H364" s="12"/>
    </row>
    <row r="365">
      <c r="A365" s="134"/>
      <c r="B365" s="12"/>
      <c r="C365" s="135"/>
      <c r="D365" s="12"/>
      <c r="E365" s="136"/>
      <c r="H365" s="12"/>
    </row>
    <row r="366">
      <c r="A366" s="134"/>
      <c r="B366" s="12"/>
      <c r="C366" s="135"/>
      <c r="D366" s="12"/>
      <c r="E366" s="136"/>
      <c r="H366" s="12"/>
    </row>
    <row r="367">
      <c r="A367" s="134"/>
      <c r="B367" s="12"/>
      <c r="C367" s="135"/>
      <c r="D367" s="12"/>
      <c r="E367" s="136"/>
      <c r="H367" s="12"/>
    </row>
    <row r="368">
      <c r="A368" s="134"/>
      <c r="B368" s="12"/>
      <c r="C368" s="135"/>
      <c r="D368" s="12"/>
      <c r="E368" s="136"/>
      <c r="H368" s="12"/>
    </row>
    <row r="369">
      <c r="A369" s="134"/>
      <c r="B369" s="12"/>
      <c r="C369" s="135"/>
      <c r="D369" s="12"/>
      <c r="E369" s="136"/>
      <c r="H369" s="12"/>
    </row>
    <row r="370">
      <c r="A370" s="134"/>
      <c r="B370" s="12"/>
      <c r="C370" s="135"/>
      <c r="D370" s="12"/>
      <c r="E370" s="136"/>
      <c r="H370" s="12"/>
    </row>
    <row r="371">
      <c r="A371" s="134"/>
      <c r="B371" s="12"/>
      <c r="C371" s="135"/>
      <c r="D371" s="12"/>
      <c r="E371" s="136"/>
      <c r="H371" s="12"/>
    </row>
    <row r="372">
      <c r="A372" s="134"/>
      <c r="B372" s="12"/>
      <c r="C372" s="135"/>
      <c r="D372" s="12"/>
      <c r="E372" s="136"/>
      <c r="H372" s="12"/>
    </row>
    <row r="373">
      <c r="A373" s="134"/>
      <c r="B373" s="12"/>
      <c r="C373" s="135"/>
      <c r="D373" s="12"/>
      <c r="E373" s="136"/>
      <c r="H373" s="12"/>
    </row>
    <row r="374">
      <c r="A374" s="134"/>
      <c r="B374" s="12"/>
      <c r="C374" s="135"/>
      <c r="D374" s="12"/>
      <c r="E374" s="136"/>
      <c r="H374" s="12"/>
    </row>
    <row r="375">
      <c r="A375" s="134"/>
      <c r="B375" s="12"/>
      <c r="C375" s="135"/>
      <c r="D375" s="12"/>
      <c r="E375" s="136"/>
      <c r="H375" s="12"/>
    </row>
    <row r="376">
      <c r="A376" s="134"/>
      <c r="B376" s="12"/>
      <c r="C376" s="135"/>
      <c r="D376" s="12"/>
      <c r="E376" s="136"/>
      <c r="H376" s="12"/>
    </row>
    <row r="377">
      <c r="A377" s="134"/>
      <c r="B377" s="12"/>
      <c r="C377" s="135"/>
      <c r="D377" s="12"/>
      <c r="E377" s="136"/>
      <c r="H377" s="12"/>
    </row>
    <row r="378">
      <c r="A378" s="134"/>
      <c r="B378" s="12"/>
      <c r="C378" s="135"/>
      <c r="D378" s="12"/>
      <c r="E378" s="136"/>
      <c r="H378" s="12"/>
    </row>
    <row r="379">
      <c r="A379" s="134"/>
      <c r="B379" s="12"/>
      <c r="C379" s="135"/>
      <c r="D379" s="12"/>
      <c r="E379" s="136"/>
      <c r="H379" s="12"/>
    </row>
    <row r="380">
      <c r="A380" s="134"/>
      <c r="B380" s="12"/>
      <c r="C380" s="135"/>
      <c r="D380" s="12"/>
      <c r="E380" s="136"/>
      <c r="H380" s="12"/>
    </row>
    <row r="381">
      <c r="A381" s="134"/>
      <c r="B381" s="12"/>
      <c r="C381" s="135"/>
      <c r="D381" s="12"/>
      <c r="E381" s="136"/>
      <c r="H381" s="12"/>
    </row>
    <row r="382">
      <c r="A382" s="134"/>
      <c r="B382" s="12"/>
      <c r="C382" s="135"/>
      <c r="D382" s="12"/>
      <c r="E382" s="136"/>
      <c r="H382" s="12"/>
    </row>
    <row r="383">
      <c r="A383" s="134"/>
      <c r="B383" s="12"/>
      <c r="C383" s="135"/>
      <c r="D383" s="12"/>
      <c r="E383" s="136"/>
      <c r="H383" s="12"/>
    </row>
    <row r="384">
      <c r="A384" s="134"/>
      <c r="B384" s="12"/>
      <c r="C384" s="135"/>
      <c r="D384" s="12"/>
      <c r="E384" s="136"/>
      <c r="H384" s="12"/>
    </row>
    <row r="385">
      <c r="A385" s="134"/>
      <c r="B385" s="12"/>
      <c r="C385" s="135"/>
      <c r="D385" s="12"/>
      <c r="E385" s="136"/>
      <c r="H385" s="12"/>
    </row>
    <row r="386">
      <c r="A386" s="134"/>
      <c r="B386" s="12"/>
      <c r="C386" s="135"/>
      <c r="D386" s="12"/>
      <c r="E386" s="136"/>
      <c r="H386" s="12"/>
    </row>
    <row r="387">
      <c r="A387" s="134"/>
      <c r="B387" s="12"/>
      <c r="C387" s="135"/>
      <c r="D387" s="12"/>
      <c r="E387" s="136"/>
      <c r="H387" s="12"/>
    </row>
    <row r="388">
      <c r="A388" s="134"/>
      <c r="B388" s="12"/>
      <c r="C388" s="135"/>
      <c r="D388" s="12"/>
      <c r="E388" s="136"/>
      <c r="H388" s="12"/>
    </row>
    <row r="389">
      <c r="A389" s="134"/>
      <c r="B389" s="12"/>
      <c r="C389" s="135"/>
      <c r="D389" s="12"/>
      <c r="E389" s="136"/>
      <c r="H389" s="12"/>
    </row>
    <row r="390">
      <c r="A390" s="134"/>
      <c r="B390" s="12"/>
      <c r="C390" s="135"/>
      <c r="D390" s="12"/>
      <c r="E390" s="136"/>
      <c r="H390" s="12"/>
    </row>
    <row r="391">
      <c r="A391" s="134"/>
      <c r="B391" s="12"/>
      <c r="C391" s="135"/>
      <c r="D391" s="12"/>
      <c r="E391" s="136"/>
      <c r="H391" s="12"/>
    </row>
    <row r="392">
      <c r="A392" s="134"/>
      <c r="B392" s="12"/>
      <c r="C392" s="135"/>
      <c r="D392" s="12"/>
      <c r="E392" s="136"/>
      <c r="H392" s="12"/>
    </row>
    <row r="393">
      <c r="A393" s="134"/>
      <c r="B393" s="12"/>
      <c r="C393" s="135"/>
      <c r="D393" s="12"/>
      <c r="E393" s="136"/>
      <c r="H393" s="12"/>
    </row>
    <row r="394">
      <c r="A394" s="134"/>
      <c r="B394" s="12"/>
      <c r="C394" s="135"/>
      <c r="D394" s="12"/>
      <c r="E394" s="136"/>
      <c r="H394" s="12"/>
    </row>
    <row r="395">
      <c r="A395" s="134"/>
      <c r="B395" s="12"/>
      <c r="C395" s="135"/>
      <c r="D395" s="12"/>
      <c r="E395" s="136"/>
      <c r="H395" s="12"/>
    </row>
    <row r="396">
      <c r="A396" s="134"/>
      <c r="B396" s="12"/>
      <c r="C396" s="135"/>
      <c r="D396" s="12"/>
      <c r="E396" s="136"/>
      <c r="H396" s="12"/>
    </row>
    <row r="397">
      <c r="A397" s="134"/>
      <c r="B397" s="12"/>
      <c r="C397" s="135"/>
      <c r="D397" s="12"/>
      <c r="E397" s="136"/>
      <c r="H397" s="12"/>
    </row>
    <row r="398">
      <c r="A398" s="134"/>
      <c r="B398" s="12"/>
      <c r="C398" s="135"/>
      <c r="D398" s="12"/>
      <c r="E398" s="136"/>
      <c r="H398" s="12"/>
    </row>
    <row r="399">
      <c r="A399" s="134"/>
      <c r="B399" s="12"/>
      <c r="C399" s="135"/>
      <c r="D399" s="12"/>
      <c r="E399" s="136"/>
      <c r="H399" s="12"/>
    </row>
    <row r="400">
      <c r="A400" s="134"/>
      <c r="B400" s="12"/>
      <c r="C400" s="135"/>
      <c r="D400" s="12"/>
      <c r="E400" s="136"/>
      <c r="H400" s="12"/>
    </row>
    <row r="401">
      <c r="A401" s="134"/>
      <c r="B401" s="12"/>
      <c r="C401" s="135"/>
      <c r="D401" s="12"/>
      <c r="E401" s="136"/>
      <c r="H401" s="12"/>
    </row>
    <row r="402">
      <c r="A402" s="134"/>
      <c r="B402" s="12"/>
      <c r="C402" s="135"/>
      <c r="D402" s="12"/>
      <c r="E402" s="136"/>
      <c r="H402" s="12"/>
    </row>
    <row r="403">
      <c r="A403" s="134"/>
      <c r="B403" s="12"/>
      <c r="C403" s="135"/>
      <c r="D403" s="12"/>
      <c r="E403" s="136"/>
      <c r="H403" s="12"/>
    </row>
    <row r="404">
      <c r="A404" s="134"/>
      <c r="B404" s="12"/>
      <c r="C404" s="135"/>
      <c r="D404" s="12"/>
      <c r="E404" s="136"/>
      <c r="H404" s="12"/>
    </row>
    <row r="405">
      <c r="A405" s="134"/>
      <c r="B405" s="12"/>
      <c r="C405" s="135"/>
      <c r="D405" s="12"/>
      <c r="E405" s="136"/>
      <c r="H405" s="12"/>
    </row>
    <row r="406">
      <c r="A406" s="134"/>
      <c r="B406" s="12"/>
      <c r="C406" s="135"/>
      <c r="D406" s="12"/>
      <c r="E406" s="136"/>
      <c r="H406" s="12"/>
    </row>
    <row r="407">
      <c r="A407" s="134"/>
      <c r="B407" s="12"/>
      <c r="C407" s="135"/>
      <c r="D407" s="12"/>
      <c r="E407" s="136"/>
      <c r="H407" s="12"/>
    </row>
    <row r="408">
      <c r="A408" s="134"/>
      <c r="B408" s="12"/>
      <c r="C408" s="135"/>
      <c r="D408" s="12"/>
      <c r="E408" s="136"/>
      <c r="H408" s="12"/>
    </row>
    <row r="409">
      <c r="A409" s="134"/>
      <c r="B409" s="12"/>
      <c r="C409" s="135"/>
      <c r="D409" s="12"/>
      <c r="E409" s="136"/>
      <c r="H409" s="12"/>
    </row>
    <row r="410">
      <c r="A410" s="134"/>
      <c r="B410" s="12"/>
      <c r="C410" s="135"/>
      <c r="D410" s="12"/>
      <c r="E410" s="136"/>
      <c r="H410" s="12"/>
    </row>
    <row r="411">
      <c r="A411" s="134"/>
      <c r="B411" s="12"/>
      <c r="C411" s="135"/>
      <c r="D411" s="12"/>
      <c r="E411" s="136"/>
      <c r="H411" s="12"/>
    </row>
    <row r="412">
      <c r="A412" s="134"/>
      <c r="B412" s="12"/>
      <c r="C412" s="135"/>
      <c r="D412" s="12"/>
      <c r="E412" s="136"/>
      <c r="H412" s="12"/>
    </row>
    <row r="413">
      <c r="A413" s="134"/>
      <c r="B413" s="12"/>
      <c r="C413" s="135"/>
      <c r="D413" s="12"/>
      <c r="E413" s="136"/>
      <c r="H413" s="12"/>
    </row>
    <row r="414">
      <c r="A414" s="134"/>
      <c r="B414" s="12"/>
      <c r="C414" s="135"/>
      <c r="D414" s="12"/>
      <c r="E414" s="136"/>
      <c r="H414" s="12"/>
    </row>
    <row r="415">
      <c r="A415" s="134"/>
      <c r="B415" s="12"/>
      <c r="C415" s="135"/>
      <c r="D415" s="12"/>
      <c r="E415" s="136"/>
      <c r="H415" s="12"/>
    </row>
    <row r="416">
      <c r="A416" s="134"/>
      <c r="B416" s="12"/>
      <c r="C416" s="135"/>
      <c r="D416" s="12"/>
      <c r="E416" s="136"/>
      <c r="H416" s="12"/>
    </row>
    <row r="417">
      <c r="A417" s="134"/>
      <c r="B417" s="12"/>
      <c r="C417" s="135"/>
      <c r="D417" s="12"/>
      <c r="E417" s="136"/>
      <c r="H417" s="12"/>
    </row>
    <row r="418">
      <c r="A418" s="134"/>
      <c r="B418" s="12"/>
      <c r="C418" s="135"/>
      <c r="D418" s="12"/>
      <c r="E418" s="136"/>
      <c r="H418" s="12"/>
    </row>
    <row r="419">
      <c r="A419" s="134"/>
      <c r="B419" s="12"/>
      <c r="C419" s="135"/>
      <c r="D419" s="12"/>
      <c r="E419" s="136"/>
      <c r="H419" s="12"/>
    </row>
    <row r="420">
      <c r="A420" s="134"/>
      <c r="B420" s="12"/>
      <c r="C420" s="135"/>
      <c r="D420" s="12"/>
      <c r="E420" s="136"/>
      <c r="H420" s="12"/>
    </row>
    <row r="421">
      <c r="A421" s="134"/>
      <c r="B421" s="12"/>
      <c r="C421" s="135"/>
      <c r="D421" s="12"/>
      <c r="E421" s="136"/>
      <c r="H421" s="12"/>
    </row>
    <row r="422">
      <c r="A422" s="134"/>
      <c r="B422" s="12"/>
      <c r="C422" s="135"/>
      <c r="D422" s="12"/>
      <c r="E422" s="136"/>
      <c r="H422" s="12"/>
    </row>
    <row r="423">
      <c r="A423" s="134"/>
      <c r="B423" s="12"/>
      <c r="C423" s="135"/>
      <c r="D423" s="12"/>
      <c r="E423" s="136"/>
      <c r="H423" s="12"/>
    </row>
    <row r="424">
      <c r="A424" s="134"/>
      <c r="B424" s="12"/>
      <c r="C424" s="135"/>
      <c r="D424" s="12"/>
      <c r="E424" s="136"/>
      <c r="H424" s="12"/>
    </row>
    <row r="425">
      <c r="A425" s="134"/>
      <c r="B425" s="12"/>
      <c r="C425" s="135"/>
      <c r="D425" s="12"/>
      <c r="E425" s="136"/>
      <c r="H425" s="12"/>
    </row>
    <row r="426">
      <c r="A426" s="134"/>
      <c r="B426" s="12"/>
      <c r="C426" s="135"/>
      <c r="D426" s="12"/>
      <c r="E426" s="136"/>
      <c r="H426" s="12"/>
    </row>
    <row r="427">
      <c r="A427" s="134"/>
      <c r="B427" s="12"/>
      <c r="C427" s="135"/>
      <c r="D427" s="12"/>
      <c r="E427" s="136"/>
      <c r="H427" s="12"/>
    </row>
    <row r="428">
      <c r="A428" s="134"/>
      <c r="B428" s="12"/>
      <c r="C428" s="135"/>
      <c r="D428" s="12"/>
      <c r="E428" s="136"/>
      <c r="H428" s="12"/>
    </row>
    <row r="429">
      <c r="A429" s="134"/>
      <c r="B429" s="12"/>
      <c r="C429" s="135"/>
      <c r="D429" s="12"/>
      <c r="E429" s="136"/>
      <c r="H429" s="12"/>
    </row>
    <row r="430">
      <c r="A430" s="134"/>
      <c r="B430" s="12"/>
      <c r="C430" s="135"/>
      <c r="D430" s="12"/>
      <c r="E430" s="136"/>
      <c r="H430" s="12"/>
    </row>
    <row r="431">
      <c r="A431" s="134"/>
      <c r="B431" s="12"/>
      <c r="C431" s="135"/>
      <c r="D431" s="12"/>
      <c r="E431" s="136"/>
      <c r="H431" s="12"/>
    </row>
    <row r="432">
      <c r="A432" s="134"/>
      <c r="B432" s="12"/>
      <c r="C432" s="135"/>
      <c r="D432" s="12"/>
      <c r="E432" s="136"/>
      <c r="H432" s="12"/>
    </row>
    <row r="433">
      <c r="A433" s="134"/>
      <c r="B433" s="12"/>
      <c r="C433" s="135"/>
      <c r="D433" s="12"/>
      <c r="E433" s="136"/>
      <c r="H433" s="12"/>
    </row>
    <row r="434">
      <c r="A434" s="134"/>
      <c r="B434" s="12"/>
      <c r="C434" s="135"/>
      <c r="D434" s="12"/>
      <c r="E434" s="136"/>
      <c r="H434" s="12"/>
    </row>
    <row r="435">
      <c r="A435" s="134"/>
      <c r="B435" s="12"/>
      <c r="C435" s="135"/>
      <c r="D435" s="12"/>
      <c r="E435" s="136"/>
      <c r="H435" s="12"/>
    </row>
    <row r="436">
      <c r="A436" s="134"/>
      <c r="B436" s="12"/>
      <c r="C436" s="135"/>
      <c r="D436" s="12"/>
      <c r="E436" s="136"/>
      <c r="H436" s="12"/>
    </row>
    <row r="437">
      <c r="A437" s="134"/>
      <c r="B437" s="12"/>
      <c r="C437" s="135"/>
      <c r="D437" s="12"/>
      <c r="E437" s="136"/>
      <c r="H437" s="12"/>
    </row>
    <row r="438">
      <c r="A438" s="134"/>
      <c r="B438" s="12"/>
      <c r="C438" s="135"/>
      <c r="D438" s="12"/>
      <c r="E438" s="136"/>
      <c r="H438" s="12"/>
    </row>
    <row r="439">
      <c r="A439" s="134"/>
      <c r="B439" s="12"/>
      <c r="C439" s="135"/>
      <c r="D439" s="12"/>
      <c r="E439" s="136"/>
      <c r="H439" s="12"/>
    </row>
    <row r="440">
      <c r="A440" s="134"/>
      <c r="B440" s="12"/>
      <c r="C440" s="135"/>
      <c r="D440" s="12"/>
      <c r="E440" s="136"/>
      <c r="H440" s="12"/>
    </row>
    <row r="441">
      <c r="A441" s="134"/>
      <c r="B441" s="12"/>
      <c r="C441" s="135"/>
      <c r="D441" s="12"/>
      <c r="E441" s="136"/>
      <c r="H441" s="12"/>
    </row>
    <row r="442">
      <c r="A442" s="134"/>
      <c r="B442" s="12"/>
      <c r="C442" s="135"/>
      <c r="D442" s="12"/>
      <c r="E442" s="136"/>
      <c r="H442" s="12"/>
    </row>
    <row r="443">
      <c r="A443" s="134"/>
      <c r="B443" s="12"/>
      <c r="C443" s="135"/>
      <c r="D443" s="12"/>
      <c r="E443" s="136"/>
      <c r="H443" s="12"/>
    </row>
    <row r="444">
      <c r="A444" s="134"/>
      <c r="B444" s="12"/>
      <c r="C444" s="135"/>
      <c r="D444" s="12"/>
      <c r="E444" s="136"/>
      <c r="H444" s="12"/>
    </row>
    <row r="445">
      <c r="A445" s="134"/>
      <c r="B445" s="12"/>
      <c r="C445" s="135"/>
      <c r="D445" s="12"/>
      <c r="E445" s="136"/>
      <c r="H445" s="12"/>
    </row>
    <row r="446">
      <c r="A446" s="134"/>
      <c r="B446" s="12"/>
      <c r="C446" s="135"/>
      <c r="D446" s="12"/>
      <c r="E446" s="136"/>
      <c r="H446" s="12"/>
    </row>
    <row r="447">
      <c r="A447" s="134"/>
      <c r="B447" s="12"/>
      <c r="C447" s="135"/>
      <c r="D447" s="12"/>
      <c r="E447" s="136"/>
      <c r="H447" s="12"/>
    </row>
    <row r="448">
      <c r="A448" s="134"/>
      <c r="B448" s="12"/>
      <c r="C448" s="135"/>
      <c r="D448" s="12"/>
      <c r="E448" s="136"/>
      <c r="H448" s="12"/>
    </row>
    <row r="449">
      <c r="A449" s="134"/>
      <c r="B449" s="12"/>
      <c r="C449" s="135"/>
      <c r="D449" s="12"/>
      <c r="E449" s="136"/>
      <c r="H449" s="12"/>
    </row>
    <row r="450">
      <c r="A450" s="134"/>
      <c r="B450" s="12"/>
      <c r="C450" s="135"/>
      <c r="D450" s="12"/>
      <c r="E450" s="136"/>
      <c r="H450" s="12"/>
    </row>
    <row r="451">
      <c r="A451" s="134"/>
      <c r="B451" s="12"/>
      <c r="C451" s="135"/>
      <c r="D451" s="12"/>
      <c r="E451" s="136"/>
      <c r="H451" s="12"/>
    </row>
    <row r="452">
      <c r="A452" s="134"/>
      <c r="B452" s="12"/>
      <c r="C452" s="135"/>
      <c r="D452" s="12"/>
      <c r="E452" s="136"/>
      <c r="H452" s="12"/>
    </row>
    <row r="453">
      <c r="A453" s="134"/>
      <c r="B453" s="12"/>
      <c r="C453" s="135"/>
      <c r="D453" s="12"/>
      <c r="E453" s="136"/>
      <c r="H453" s="12"/>
    </row>
    <row r="454">
      <c r="A454" s="134"/>
      <c r="B454" s="12"/>
      <c r="C454" s="135"/>
      <c r="D454" s="12"/>
      <c r="E454" s="136"/>
      <c r="H454" s="12"/>
    </row>
    <row r="455">
      <c r="A455" s="134"/>
      <c r="B455" s="12"/>
      <c r="C455" s="135"/>
      <c r="D455" s="12"/>
      <c r="E455" s="136"/>
      <c r="H455" s="12"/>
    </row>
    <row r="456">
      <c r="A456" s="134"/>
      <c r="B456" s="12"/>
      <c r="C456" s="135"/>
      <c r="D456" s="12"/>
      <c r="E456" s="136"/>
      <c r="H456" s="12"/>
    </row>
    <row r="457">
      <c r="A457" s="134"/>
      <c r="B457" s="12"/>
      <c r="C457" s="135"/>
      <c r="D457" s="12"/>
      <c r="E457" s="136"/>
      <c r="H457" s="12"/>
    </row>
    <row r="458">
      <c r="A458" s="134"/>
      <c r="B458" s="12"/>
      <c r="C458" s="135"/>
      <c r="D458" s="12"/>
      <c r="E458" s="136"/>
      <c r="H458" s="12"/>
    </row>
    <row r="459">
      <c r="A459" s="134"/>
      <c r="B459" s="12"/>
      <c r="C459" s="135"/>
      <c r="D459" s="12"/>
      <c r="E459" s="136"/>
      <c r="H459" s="12"/>
    </row>
    <row r="460">
      <c r="A460" s="134"/>
      <c r="B460" s="12"/>
      <c r="C460" s="135"/>
      <c r="D460" s="12"/>
      <c r="E460" s="136"/>
      <c r="H460" s="12"/>
    </row>
    <row r="461">
      <c r="A461" s="134"/>
      <c r="B461" s="12"/>
      <c r="C461" s="135"/>
      <c r="D461" s="12"/>
      <c r="E461" s="136"/>
      <c r="H461" s="12"/>
    </row>
    <row r="462">
      <c r="A462" s="134"/>
      <c r="B462" s="12"/>
      <c r="C462" s="135"/>
      <c r="D462" s="12"/>
      <c r="E462" s="136"/>
      <c r="H462" s="12"/>
    </row>
    <row r="463">
      <c r="A463" s="134"/>
      <c r="B463" s="12"/>
      <c r="C463" s="135"/>
      <c r="D463" s="12"/>
      <c r="E463" s="136"/>
      <c r="H463" s="12"/>
    </row>
    <row r="464">
      <c r="A464" s="134"/>
      <c r="B464" s="12"/>
      <c r="C464" s="135"/>
      <c r="D464" s="12"/>
      <c r="E464" s="136"/>
      <c r="H464" s="12"/>
    </row>
    <row r="465">
      <c r="A465" s="134"/>
      <c r="B465" s="12"/>
      <c r="C465" s="135"/>
      <c r="D465" s="12"/>
      <c r="E465" s="136"/>
      <c r="H465" s="12"/>
    </row>
    <row r="466">
      <c r="A466" s="134"/>
      <c r="B466" s="12"/>
      <c r="C466" s="135"/>
      <c r="D466" s="12"/>
      <c r="E466" s="136"/>
      <c r="H466" s="12"/>
    </row>
    <row r="467">
      <c r="A467" s="134"/>
      <c r="B467" s="12"/>
      <c r="C467" s="135"/>
      <c r="D467" s="12"/>
      <c r="E467" s="136"/>
      <c r="H467" s="12"/>
    </row>
    <row r="468">
      <c r="A468" s="134"/>
      <c r="B468" s="12"/>
      <c r="C468" s="135"/>
      <c r="D468" s="12"/>
      <c r="E468" s="136"/>
      <c r="H468" s="12"/>
    </row>
    <row r="469">
      <c r="A469" s="134"/>
      <c r="B469" s="12"/>
      <c r="C469" s="135"/>
      <c r="D469" s="12"/>
      <c r="E469" s="136"/>
      <c r="H469" s="12"/>
    </row>
    <row r="470">
      <c r="A470" s="134"/>
      <c r="B470" s="12"/>
      <c r="C470" s="135"/>
      <c r="D470" s="12"/>
      <c r="E470" s="136"/>
      <c r="H470" s="12"/>
    </row>
    <row r="471">
      <c r="A471" s="134"/>
      <c r="B471" s="12"/>
      <c r="C471" s="135"/>
      <c r="D471" s="12"/>
      <c r="E471" s="136"/>
      <c r="H471" s="12"/>
    </row>
    <row r="472">
      <c r="A472" s="134"/>
      <c r="B472" s="12"/>
      <c r="C472" s="135"/>
      <c r="D472" s="12"/>
      <c r="E472" s="136"/>
      <c r="H472" s="12"/>
    </row>
    <row r="473">
      <c r="A473" s="134"/>
      <c r="B473" s="12"/>
      <c r="C473" s="135"/>
      <c r="D473" s="12"/>
      <c r="E473" s="136"/>
      <c r="H473" s="12"/>
    </row>
    <row r="474">
      <c r="A474" s="134"/>
      <c r="B474" s="12"/>
      <c r="C474" s="135"/>
      <c r="D474" s="12"/>
      <c r="E474" s="136"/>
      <c r="H474" s="12"/>
    </row>
    <row r="475">
      <c r="A475" s="134"/>
      <c r="B475" s="12"/>
      <c r="C475" s="135"/>
      <c r="D475" s="12"/>
      <c r="E475" s="136"/>
      <c r="H475" s="12"/>
    </row>
    <row r="476">
      <c r="A476" s="134"/>
      <c r="B476" s="12"/>
      <c r="C476" s="135"/>
      <c r="D476" s="12"/>
      <c r="E476" s="136"/>
      <c r="H476" s="12"/>
    </row>
    <row r="477">
      <c r="A477" s="134"/>
      <c r="B477" s="12"/>
      <c r="C477" s="135"/>
      <c r="D477" s="12"/>
      <c r="E477" s="136"/>
      <c r="H477" s="12"/>
    </row>
    <row r="478">
      <c r="A478" s="134"/>
      <c r="B478" s="12"/>
      <c r="C478" s="135"/>
      <c r="D478" s="12"/>
      <c r="E478" s="136"/>
      <c r="H478" s="12"/>
    </row>
    <row r="479">
      <c r="A479" s="134"/>
      <c r="B479" s="12"/>
      <c r="C479" s="135"/>
      <c r="D479" s="12"/>
      <c r="E479" s="136"/>
      <c r="H479" s="12"/>
    </row>
    <row r="480">
      <c r="A480" s="134"/>
      <c r="B480" s="12"/>
      <c r="C480" s="135"/>
      <c r="D480" s="12"/>
      <c r="E480" s="136"/>
      <c r="H480" s="12"/>
    </row>
    <row r="481">
      <c r="A481" s="134"/>
      <c r="B481" s="12"/>
      <c r="C481" s="135"/>
      <c r="D481" s="12"/>
      <c r="E481" s="136"/>
      <c r="H481" s="12"/>
    </row>
    <row r="482">
      <c r="A482" s="134"/>
      <c r="B482" s="12"/>
      <c r="C482" s="135"/>
      <c r="D482" s="12"/>
      <c r="E482" s="136"/>
      <c r="H482" s="12"/>
    </row>
    <row r="483">
      <c r="A483" s="134"/>
      <c r="B483" s="12"/>
      <c r="C483" s="135"/>
      <c r="D483" s="12"/>
      <c r="E483" s="136"/>
      <c r="H483" s="12"/>
    </row>
    <row r="484">
      <c r="A484" s="134"/>
      <c r="B484" s="12"/>
      <c r="C484" s="135"/>
      <c r="D484" s="12"/>
      <c r="E484" s="136"/>
      <c r="H484" s="12"/>
    </row>
    <row r="485">
      <c r="A485" s="134"/>
      <c r="B485" s="12"/>
      <c r="C485" s="135"/>
      <c r="D485" s="12"/>
      <c r="E485" s="136"/>
      <c r="H485" s="12"/>
    </row>
    <row r="486">
      <c r="A486" s="134"/>
      <c r="B486" s="12"/>
      <c r="C486" s="135"/>
      <c r="D486" s="12"/>
      <c r="E486" s="136"/>
      <c r="H486" s="12"/>
    </row>
    <row r="487">
      <c r="A487" s="134"/>
      <c r="B487" s="12"/>
      <c r="C487" s="135"/>
      <c r="D487" s="12"/>
      <c r="E487" s="136"/>
      <c r="H487" s="12"/>
    </row>
    <row r="488">
      <c r="A488" s="134"/>
      <c r="B488" s="12"/>
      <c r="C488" s="135"/>
      <c r="D488" s="12"/>
      <c r="E488" s="136"/>
      <c r="H488" s="12"/>
    </row>
    <row r="489">
      <c r="A489" s="134"/>
      <c r="B489" s="12"/>
      <c r="C489" s="135"/>
      <c r="D489" s="12"/>
      <c r="E489" s="136"/>
      <c r="H489" s="12"/>
    </row>
    <row r="490">
      <c r="A490" s="134"/>
      <c r="B490" s="12"/>
      <c r="C490" s="135"/>
      <c r="D490" s="12"/>
      <c r="E490" s="136"/>
      <c r="H490" s="12"/>
    </row>
    <row r="491">
      <c r="A491" s="134"/>
      <c r="B491" s="12"/>
      <c r="C491" s="135"/>
      <c r="D491" s="12"/>
      <c r="E491" s="136"/>
      <c r="H491" s="12"/>
    </row>
    <row r="492">
      <c r="A492" s="134"/>
      <c r="B492" s="12"/>
      <c r="C492" s="135"/>
      <c r="D492" s="12"/>
      <c r="E492" s="136"/>
      <c r="H492" s="12"/>
    </row>
    <row r="493">
      <c r="A493" s="134"/>
      <c r="B493" s="12"/>
      <c r="C493" s="135"/>
      <c r="D493" s="12"/>
      <c r="E493" s="136"/>
      <c r="H493" s="12"/>
    </row>
    <row r="494">
      <c r="A494" s="134"/>
      <c r="B494" s="12"/>
      <c r="C494" s="135"/>
      <c r="D494" s="12"/>
      <c r="E494" s="136"/>
      <c r="H494" s="12"/>
    </row>
    <row r="495">
      <c r="A495" s="134"/>
      <c r="B495" s="12"/>
      <c r="C495" s="135"/>
      <c r="D495" s="12"/>
      <c r="E495" s="136"/>
      <c r="H495" s="12"/>
    </row>
    <row r="496">
      <c r="A496" s="134"/>
      <c r="B496" s="12"/>
      <c r="C496" s="135"/>
      <c r="D496" s="12"/>
      <c r="E496" s="136"/>
      <c r="H496" s="12"/>
    </row>
    <row r="497">
      <c r="A497" s="134"/>
      <c r="B497" s="12"/>
      <c r="C497" s="135"/>
      <c r="D497" s="12"/>
      <c r="E497" s="136"/>
      <c r="H497" s="12"/>
    </row>
    <row r="498">
      <c r="A498" s="134"/>
      <c r="B498" s="12"/>
      <c r="C498" s="135"/>
      <c r="D498" s="12"/>
      <c r="E498" s="136"/>
      <c r="H498" s="12"/>
    </row>
    <row r="499">
      <c r="A499" s="134"/>
      <c r="B499" s="12"/>
      <c r="C499" s="135"/>
      <c r="D499" s="12"/>
      <c r="E499" s="136"/>
      <c r="H499" s="12"/>
    </row>
    <row r="500">
      <c r="A500" s="134"/>
      <c r="B500" s="12"/>
      <c r="C500" s="135"/>
      <c r="D500" s="12"/>
      <c r="E500" s="136"/>
      <c r="H500" s="12"/>
    </row>
    <row r="501">
      <c r="A501" s="134"/>
      <c r="B501" s="12"/>
      <c r="C501" s="135"/>
      <c r="D501" s="12"/>
      <c r="E501" s="136"/>
      <c r="H501" s="12"/>
    </row>
    <row r="502">
      <c r="A502" s="134"/>
      <c r="B502" s="12"/>
      <c r="C502" s="135"/>
      <c r="D502" s="12"/>
      <c r="E502" s="136"/>
      <c r="H502" s="12"/>
    </row>
    <row r="503">
      <c r="A503" s="134"/>
      <c r="B503" s="12"/>
      <c r="C503" s="135"/>
      <c r="D503" s="12"/>
      <c r="E503" s="136"/>
      <c r="H503" s="12"/>
    </row>
    <row r="504">
      <c r="A504" s="134"/>
      <c r="B504" s="12"/>
      <c r="C504" s="135"/>
      <c r="D504" s="12"/>
      <c r="E504" s="136"/>
      <c r="H504" s="12"/>
    </row>
    <row r="505">
      <c r="A505" s="134"/>
      <c r="B505" s="12"/>
      <c r="C505" s="135"/>
      <c r="D505" s="12"/>
      <c r="E505" s="136"/>
      <c r="H505" s="12"/>
    </row>
    <row r="506">
      <c r="A506" s="134"/>
      <c r="B506" s="12"/>
      <c r="C506" s="135"/>
      <c r="D506" s="12"/>
      <c r="E506" s="136"/>
      <c r="H506" s="12"/>
    </row>
    <row r="507">
      <c r="A507" s="134"/>
      <c r="B507" s="12"/>
      <c r="C507" s="135"/>
      <c r="D507" s="12"/>
      <c r="E507" s="136"/>
      <c r="H507" s="12"/>
    </row>
    <row r="508">
      <c r="A508" s="134"/>
      <c r="B508" s="12"/>
      <c r="C508" s="135"/>
      <c r="D508" s="12"/>
      <c r="E508" s="136"/>
      <c r="H508" s="12"/>
    </row>
    <row r="509">
      <c r="A509" s="134"/>
      <c r="B509" s="12"/>
      <c r="C509" s="135"/>
      <c r="D509" s="12"/>
      <c r="E509" s="136"/>
      <c r="H509" s="12"/>
    </row>
    <row r="510">
      <c r="A510" s="134"/>
      <c r="B510" s="12"/>
      <c r="C510" s="135"/>
      <c r="D510" s="12"/>
      <c r="E510" s="136"/>
      <c r="H510" s="12"/>
    </row>
    <row r="511">
      <c r="A511" s="134"/>
      <c r="B511" s="12"/>
      <c r="C511" s="135"/>
      <c r="D511" s="12"/>
      <c r="E511" s="136"/>
      <c r="H511" s="12"/>
    </row>
    <row r="512">
      <c r="A512" s="134"/>
      <c r="B512" s="12"/>
      <c r="C512" s="135"/>
      <c r="D512" s="12"/>
      <c r="E512" s="136"/>
      <c r="H512" s="12"/>
    </row>
    <row r="513">
      <c r="A513" s="134"/>
      <c r="B513" s="12"/>
      <c r="C513" s="135"/>
      <c r="D513" s="12"/>
      <c r="E513" s="136"/>
      <c r="H513" s="12"/>
    </row>
    <row r="514">
      <c r="A514" s="134"/>
      <c r="B514" s="12"/>
      <c r="C514" s="135"/>
      <c r="D514" s="12"/>
      <c r="E514" s="136"/>
      <c r="H514" s="12"/>
    </row>
    <row r="515">
      <c r="A515" s="134"/>
      <c r="B515" s="12"/>
      <c r="C515" s="135"/>
      <c r="D515" s="12"/>
      <c r="E515" s="136"/>
      <c r="H515" s="12"/>
    </row>
    <row r="516">
      <c r="A516" s="134"/>
      <c r="B516" s="12"/>
      <c r="C516" s="135"/>
      <c r="D516" s="12"/>
      <c r="E516" s="136"/>
      <c r="H516" s="12"/>
    </row>
    <row r="517">
      <c r="A517" s="134"/>
      <c r="B517" s="12"/>
      <c r="C517" s="135"/>
      <c r="D517" s="12"/>
      <c r="E517" s="136"/>
      <c r="H517" s="12"/>
    </row>
    <row r="518">
      <c r="A518" s="134"/>
      <c r="B518" s="12"/>
      <c r="C518" s="135"/>
      <c r="D518" s="12"/>
      <c r="E518" s="136"/>
      <c r="H518" s="12"/>
    </row>
    <row r="519">
      <c r="A519" s="134"/>
      <c r="B519" s="12"/>
      <c r="C519" s="135"/>
      <c r="D519" s="12"/>
      <c r="E519" s="136"/>
      <c r="H519" s="12"/>
    </row>
    <row r="520">
      <c r="A520" s="134"/>
      <c r="B520" s="12"/>
      <c r="C520" s="135"/>
      <c r="D520" s="12"/>
      <c r="E520" s="136"/>
      <c r="H520" s="12"/>
    </row>
    <row r="521">
      <c r="A521" s="134"/>
      <c r="B521" s="12"/>
      <c r="C521" s="135"/>
      <c r="D521" s="12"/>
      <c r="E521" s="136"/>
      <c r="H521" s="12"/>
    </row>
    <row r="522">
      <c r="A522" s="134"/>
      <c r="B522" s="12"/>
      <c r="C522" s="135"/>
      <c r="D522" s="12"/>
      <c r="E522" s="136"/>
      <c r="H522" s="12"/>
    </row>
    <row r="523">
      <c r="A523" s="134"/>
      <c r="B523" s="12"/>
      <c r="C523" s="135"/>
      <c r="D523" s="12"/>
      <c r="E523" s="136"/>
      <c r="H523" s="12"/>
    </row>
    <row r="524">
      <c r="A524" s="134"/>
      <c r="B524" s="12"/>
      <c r="C524" s="135"/>
      <c r="D524" s="12"/>
      <c r="E524" s="136"/>
      <c r="H524" s="12"/>
    </row>
    <row r="525">
      <c r="A525" s="134"/>
      <c r="B525" s="12"/>
      <c r="C525" s="135"/>
      <c r="D525" s="12"/>
      <c r="E525" s="136"/>
      <c r="H525" s="12"/>
    </row>
    <row r="526">
      <c r="A526" s="134"/>
      <c r="B526" s="12"/>
      <c r="C526" s="135"/>
      <c r="D526" s="12"/>
      <c r="E526" s="136"/>
      <c r="H526" s="12"/>
    </row>
    <row r="527">
      <c r="A527" s="134"/>
      <c r="B527" s="12"/>
      <c r="C527" s="135"/>
      <c r="D527" s="12"/>
      <c r="E527" s="136"/>
      <c r="H527" s="12"/>
    </row>
    <row r="528">
      <c r="A528" s="134"/>
      <c r="B528" s="12"/>
      <c r="C528" s="135"/>
      <c r="D528" s="12"/>
      <c r="E528" s="136"/>
      <c r="H528" s="12"/>
    </row>
    <row r="529">
      <c r="A529" s="134"/>
      <c r="B529" s="12"/>
      <c r="C529" s="135"/>
      <c r="D529" s="12"/>
      <c r="E529" s="136"/>
      <c r="H529" s="12"/>
    </row>
    <row r="530">
      <c r="A530" s="134"/>
      <c r="B530" s="12"/>
      <c r="C530" s="135"/>
      <c r="D530" s="12"/>
      <c r="E530" s="136"/>
      <c r="H530" s="12"/>
    </row>
    <row r="531">
      <c r="A531" s="134"/>
      <c r="B531" s="12"/>
      <c r="C531" s="135"/>
      <c r="D531" s="12"/>
      <c r="E531" s="136"/>
      <c r="H531" s="12"/>
    </row>
    <row r="532">
      <c r="A532" s="134"/>
      <c r="B532" s="12"/>
      <c r="C532" s="135"/>
      <c r="D532" s="12"/>
      <c r="E532" s="136"/>
      <c r="H532" s="12"/>
    </row>
    <row r="533">
      <c r="A533" s="134"/>
      <c r="B533" s="12"/>
      <c r="C533" s="135"/>
      <c r="D533" s="12"/>
      <c r="E533" s="136"/>
      <c r="H533" s="12"/>
    </row>
    <row r="534">
      <c r="A534" s="134"/>
      <c r="B534" s="12"/>
      <c r="C534" s="135"/>
      <c r="D534" s="12"/>
      <c r="E534" s="136"/>
      <c r="H534" s="12"/>
    </row>
    <row r="535">
      <c r="A535" s="134"/>
      <c r="B535" s="12"/>
      <c r="C535" s="135"/>
      <c r="D535" s="12"/>
      <c r="E535" s="136"/>
      <c r="H535" s="12"/>
    </row>
    <row r="536">
      <c r="A536" s="134"/>
      <c r="B536" s="12"/>
      <c r="C536" s="135"/>
      <c r="D536" s="12"/>
      <c r="E536" s="136"/>
      <c r="H536" s="12"/>
    </row>
    <row r="537">
      <c r="A537" s="134"/>
      <c r="B537" s="12"/>
      <c r="C537" s="135"/>
      <c r="D537" s="12"/>
      <c r="E537" s="136"/>
      <c r="H537" s="12"/>
    </row>
    <row r="538">
      <c r="A538" s="134"/>
      <c r="B538" s="12"/>
      <c r="C538" s="135"/>
      <c r="D538" s="12"/>
      <c r="E538" s="136"/>
      <c r="H538" s="12"/>
    </row>
    <row r="539">
      <c r="A539" s="134"/>
      <c r="B539" s="12"/>
      <c r="C539" s="135"/>
      <c r="D539" s="12"/>
      <c r="E539" s="136"/>
      <c r="H539" s="12"/>
    </row>
    <row r="540">
      <c r="A540" s="134"/>
      <c r="B540" s="12"/>
      <c r="C540" s="135"/>
      <c r="D540" s="12"/>
      <c r="E540" s="136"/>
      <c r="H540" s="12"/>
    </row>
    <row r="541">
      <c r="A541" s="134"/>
      <c r="B541" s="12"/>
      <c r="C541" s="135"/>
      <c r="D541" s="12"/>
      <c r="E541" s="136"/>
      <c r="H541" s="12"/>
    </row>
    <row r="542">
      <c r="A542" s="134"/>
      <c r="B542" s="12"/>
      <c r="C542" s="135"/>
      <c r="D542" s="12"/>
      <c r="E542" s="136"/>
      <c r="H542" s="12"/>
    </row>
    <row r="543">
      <c r="A543" s="134"/>
      <c r="B543" s="12"/>
      <c r="C543" s="135"/>
      <c r="D543" s="12"/>
      <c r="E543" s="136"/>
      <c r="H543" s="12"/>
    </row>
    <row r="544">
      <c r="A544" s="134"/>
      <c r="B544" s="12"/>
      <c r="C544" s="135"/>
      <c r="D544" s="12"/>
      <c r="E544" s="136"/>
      <c r="H544" s="12"/>
    </row>
    <row r="545">
      <c r="A545" s="134"/>
      <c r="B545" s="12"/>
      <c r="C545" s="135"/>
      <c r="D545" s="12"/>
      <c r="E545" s="136"/>
      <c r="H545" s="12"/>
    </row>
    <row r="546">
      <c r="A546" s="134"/>
      <c r="B546" s="12"/>
      <c r="C546" s="135"/>
      <c r="D546" s="12"/>
      <c r="E546" s="136"/>
      <c r="H546" s="12"/>
    </row>
    <row r="547">
      <c r="A547" s="134"/>
      <c r="B547" s="12"/>
      <c r="C547" s="135"/>
      <c r="D547" s="12"/>
      <c r="E547" s="136"/>
      <c r="H547" s="12"/>
    </row>
    <row r="548">
      <c r="A548" s="134"/>
      <c r="B548" s="12"/>
      <c r="C548" s="135"/>
      <c r="D548" s="12"/>
      <c r="E548" s="136"/>
      <c r="H548" s="12"/>
    </row>
    <row r="549">
      <c r="A549" s="134"/>
      <c r="B549" s="12"/>
      <c r="C549" s="135"/>
      <c r="D549" s="12"/>
      <c r="E549" s="136"/>
      <c r="H549" s="12"/>
    </row>
    <row r="550">
      <c r="A550" s="134"/>
      <c r="B550" s="12"/>
      <c r="C550" s="135"/>
      <c r="D550" s="12"/>
      <c r="E550" s="136"/>
      <c r="H550" s="12"/>
    </row>
    <row r="551">
      <c r="A551" s="134"/>
      <c r="B551" s="12"/>
      <c r="C551" s="135"/>
      <c r="D551" s="12"/>
      <c r="E551" s="136"/>
      <c r="H551" s="12"/>
    </row>
    <row r="552">
      <c r="A552" s="134"/>
      <c r="B552" s="12"/>
      <c r="C552" s="135"/>
      <c r="D552" s="12"/>
      <c r="E552" s="136"/>
      <c r="H552" s="12"/>
    </row>
    <row r="553">
      <c r="A553" s="134"/>
      <c r="B553" s="12"/>
      <c r="C553" s="135"/>
      <c r="D553" s="12"/>
      <c r="E553" s="136"/>
      <c r="H553" s="12"/>
    </row>
    <row r="554">
      <c r="A554" s="134"/>
      <c r="B554" s="12"/>
      <c r="C554" s="135"/>
      <c r="D554" s="12"/>
      <c r="E554" s="136"/>
      <c r="H554" s="12"/>
    </row>
    <row r="555">
      <c r="A555" s="134"/>
      <c r="B555" s="12"/>
      <c r="C555" s="135"/>
      <c r="D555" s="12"/>
      <c r="E555" s="136"/>
      <c r="H555" s="12"/>
    </row>
    <row r="556">
      <c r="A556" s="134"/>
      <c r="B556" s="12"/>
      <c r="C556" s="135"/>
      <c r="D556" s="12"/>
      <c r="E556" s="136"/>
      <c r="H556" s="12"/>
    </row>
    <row r="557">
      <c r="A557" s="134"/>
      <c r="B557" s="12"/>
      <c r="C557" s="135"/>
      <c r="D557" s="12"/>
      <c r="E557" s="136"/>
      <c r="H557" s="12"/>
    </row>
    <row r="558">
      <c r="A558" s="134"/>
      <c r="B558" s="12"/>
      <c r="C558" s="135"/>
      <c r="D558" s="12"/>
      <c r="E558" s="136"/>
      <c r="H558" s="12"/>
    </row>
    <row r="559">
      <c r="A559" s="134"/>
      <c r="B559" s="12"/>
      <c r="C559" s="135"/>
      <c r="D559" s="12"/>
      <c r="E559" s="136"/>
      <c r="H559" s="12"/>
    </row>
    <row r="560">
      <c r="A560" s="134"/>
      <c r="B560" s="12"/>
      <c r="C560" s="135"/>
      <c r="D560" s="12"/>
      <c r="E560" s="136"/>
      <c r="H560" s="12"/>
    </row>
    <row r="561">
      <c r="A561" s="134"/>
      <c r="B561" s="12"/>
      <c r="C561" s="135"/>
      <c r="D561" s="12"/>
      <c r="E561" s="136"/>
      <c r="H561" s="12"/>
    </row>
    <row r="562">
      <c r="A562" s="134"/>
      <c r="B562" s="12"/>
      <c r="C562" s="135"/>
      <c r="D562" s="12"/>
      <c r="E562" s="136"/>
      <c r="H562" s="12"/>
    </row>
    <row r="563">
      <c r="A563" s="134"/>
      <c r="B563" s="12"/>
      <c r="C563" s="135"/>
      <c r="D563" s="12"/>
      <c r="E563" s="136"/>
      <c r="H563" s="12"/>
    </row>
    <row r="564">
      <c r="A564" s="134"/>
      <c r="B564" s="12"/>
      <c r="C564" s="135"/>
      <c r="D564" s="12"/>
      <c r="E564" s="136"/>
      <c r="H564" s="12"/>
    </row>
    <row r="565">
      <c r="A565" s="134"/>
      <c r="B565" s="12"/>
      <c r="C565" s="135"/>
      <c r="D565" s="12"/>
      <c r="E565" s="136"/>
      <c r="H565" s="12"/>
    </row>
    <row r="566">
      <c r="A566" s="134"/>
      <c r="B566" s="12"/>
      <c r="C566" s="135"/>
      <c r="D566" s="12"/>
      <c r="E566" s="136"/>
      <c r="H566" s="12"/>
    </row>
    <row r="567">
      <c r="A567" s="134"/>
      <c r="B567" s="12"/>
      <c r="C567" s="135"/>
      <c r="D567" s="12"/>
      <c r="E567" s="136"/>
      <c r="H567" s="12"/>
    </row>
    <row r="568">
      <c r="A568" s="134"/>
      <c r="B568" s="12"/>
      <c r="C568" s="135"/>
      <c r="D568" s="12"/>
      <c r="E568" s="136"/>
      <c r="H568" s="12"/>
    </row>
    <row r="569">
      <c r="A569" s="134"/>
      <c r="B569" s="12"/>
      <c r="C569" s="135"/>
      <c r="D569" s="12"/>
      <c r="E569" s="136"/>
      <c r="H569" s="12"/>
    </row>
    <row r="570">
      <c r="A570" s="134"/>
      <c r="B570" s="12"/>
      <c r="C570" s="135"/>
      <c r="D570" s="12"/>
      <c r="E570" s="136"/>
      <c r="H570" s="12"/>
    </row>
    <row r="571">
      <c r="A571" s="134"/>
      <c r="B571" s="12"/>
      <c r="C571" s="135"/>
      <c r="D571" s="12"/>
      <c r="E571" s="136"/>
      <c r="H571" s="12"/>
    </row>
    <row r="572">
      <c r="A572" s="134"/>
      <c r="B572" s="12"/>
      <c r="C572" s="135"/>
      <c r="D572" s="12"/>
      <c r="E572" s="136"/>
      <c r="H572" s="12"/>
    </row>
    <row r="573">
      <c r="A573" s="134"/>
      <c r="B573" s="12"/>
      <c r="C573" s="135"/>
      <c r="D573" s="12"/>
      <c r="E573" s="136"/>
      <c r="H573" s="12"/>
    </row>
    <row r="574">
      <c r="A574" s="134"/>
      <c r="B574" s="12"/>
      <c r="C574" s="135"/>
      <c r="D574" s="12"/>
      <c r="E574" s="136"/>
      <c r="H574" s="12"/>
    </row>
    <row r="575">
      <c r="A575" s="134"/>
      <c r="B575" s="12"/>
      <c r="C575" s="135"/>
      <c r="D575" s="12"/>
      <c r="E575" s="136"/>
      <c r="H575" s="12"/>
    </row>
    <row r="576">
      <c r="A576" s="134"/>
      <c r="B576" s="12"/>
      <c r="C576" s="135"/>
      <c r="D576" s="12"/>
      <c r="E576" s="136"/>
      <c r="H576" s="12"/>
    </row>
    <row r="577">
      <c r="A577" s="134"/>
      <c r="B577" s="12"/>
      <c r="C577" s="135"/>
      <c r="D577" s="12"/>
      <c r="E577" s="136"/>
      <c r="H577" s="12"/>
    </row>
    <row r="578">
      <c r="A578" s="134"/>
      <c r="B578" s="12"/>
      <c r="C578" s="135"/>
      <c r="D578" s="12"/>
      <c r="E578" s="136"/>
      <c r="H578" s="12"/>
    </row>
    <row r="579">
      <c r="A579" s="134"/>
      <c r="B579" s="12"/>
      <c r="C579" s="135"/>
      <c r="D579" s="12"/>
      <c r="E579" s="136"/>
      <c r="H579" s="12"/>
    </row>
    <row r="580">
      <c r="A580" s="134"/>
      <c r="B580" s="12"/>
      <c r="C580" s="135"/>
      <c r="D580" s="12"/>
      <c r="E580" s="136"/>
      <c r="H580" s="12"/>
    </row>
    <row r="581">
      <c r="A581" s="134"/>
      <c r="B581" s="12"/>
      <c r="C581" s="135"/>
      <c r="D581" s="12"/>
      <c r="E581" s="136"/>
      <c r="H581" s="12"/>
    </row>
    <row r="582">
      <c r="A582" s="134"/>
      <c r="B582" s="12"/>
      <c r="C582" s="135"/>
      <c r="D582" s="12"/>
      <c r="E582" s="136"/>
      <c r="H582" s="12"/>
    </row>
    <row r="583">
      <c r="A583" s="134"/>
      <c r="B583" s="12"/>
      <c r="C583" s="135"/>
      <c r="D583" s="12"/>
      <c r="E583" s="136"/>
      <c r="H583" s="12"/>
    </row>
    <row r="584">
      <c r="A584" s="134"/>
      <c r="B584" s="12"/>
      <c r="C584" s="135"/>
      <c r="D584" s="12"/>
      <c r="E584" s="136"/>
      <c r="H584" s="12"/>
    </row>
    <row r="585">
      <c r="A585" s="134"/>
      <c r="B585" s="12"/>
      <c r="C585" s="135"/>
      <c r="D585" s="12"/>
      <c r="E585" s="136"/>
      <c r="H585" s="12"/>
    </row>
    <row r="586">
      <c r="A586" s="134"/>
      <c r="B586" s="12"/>
      <c r="C586" s="135"/>
      <c r="D586" s="12"/>
      <c r="E586" s="136"/>
      <c r="H586" s="12"/>
    </row>
    <row r="587">
      <c r="A587" s="134"/>
      <c r="B587" s="12"/>
      <c r="C587" s="135"/>
      <c r="D587" s="12"/>
      <c r="E587" s="136"/>
      <c r="H587" s="12"/>
    </row>
    <row r="588">
      <c r="A588" s="134"/>
      <c r="B588" s="12"/>
      <c r="C588" s="135"/>
      <c r="D588" s="12"/>
      <c r="E588" s="136"/>
      <c r="H588" s="12"/>
    </row>
    <row r="589">
      <c r="A589" s="134"/>
      <c r="B589" s="12"/>
      <c r="C589" s="135"/>
      <c r="D589" s="12"/>
      <c r="E589" s="136"/>
      <c r="H589" s="12"/>
    </row>
    <row r="590">
      <c r="A590" s="134"/>
      <c r="B590" s="12"/>
      <c r="C590" s="135"/>
      <c r="D590" s="12"/>
      <c r="E590" s="136"/>
      <c r="H590" s="12"/>
    </row>
    <row r="591">
      <c r="A591" s="134"/>
      <c r="B591" s="12"/>
      <c r="C591" s="135"/>
      <c r="D591" s="12"/>
      <c r="E591" s="136"/>
      <c r="H591" s="12"/>
    </row>
    <row r="592">
      <c r="A592" s="134"/>
      <c r="B592" s="12"/>
      <c r="C592" s="135"/>
      <c r="D592" s="12"/>
      <c r="E592" s="136"/>
      <c r="H592" s="12"/>
    </row>
    <row r="593">
      <c r="A593" s="134"/>
      <c r="B593" s="12"/>
      <c r="C593" s="135"/>
      <c r="D593" s="12"/>
      <c r="E593" s="136"/>
      <c r="H593" s="12"/>
    </row>
    <row r="594">
      <c r="A594" s="134"/>
      <c r="B594" s="12"/>
      <c r="C594" s="135"/>
      <c r="D594" s="12"/>
      <c r="E594" s="136"/>
      <c r="H594" s="12"/>
    </row>
    <row r="595">
      <c r="A595" s="134"/>
      <c r="B595" s="12"/>
      <c r="C595" s="135"/>
      <c r="D595" s="12"/>
      <c r="E595" s="136"/>
      <c r="H595" s="12"/>
    </row>
    <row r="596">
      <c r="A596" s="134"/>
      <c r="B596" s="12"/>
      <c r="C596" s="135"/>
      <c r="D596" s="12"/>
      <c r="E596" s="136"/>
      <c r="H596" s="12"/>
    </row>
    <row r="597">
      <c r="A597" s="134"/>
      <c r="B597" s="12"/>
      <c r="C597" s="135"/>
      <c r="D597" s="12"/>
      <c r="E597" s="136"/>
      <c r="H597" s="12"/>
    </row>
    <row r="598">
      <c r="A598" s="134"/>
      <c r="B598" s="12"/>
      <c r="C598" s="135"/>
      <c r="D598" s="12"/>
      <c r="E598" s="136"/>
      <c r="H598" s="12"/>
    </row>
    <row r="599">
      <c r="A599" s="134"/>
      <c r="B599" s="12"/>
      <c r="C599" s="135"/>
      <c r="D599" s="12"/>
      <c r="E599" s="136"/>
      <c r="H599" s="12"/>
    </row>
    <row r="600">
      <c r="A600" s="134"/>
      <c r="B600" s="12"/>
      <c r="C600" s="135"/>
      <c r="D600" s="12"/>
      <c r="E600" s="136"/>
      <c r="H600" s="12"/>
    </row>
    <row r="601">
      <c r="A601" s="134"/>
      <c r="B601" s="12"/>
      <c r="C601" s="135"/>
      <c r="D601" s="12"/>
      <c r="E601" s="136"/>
      <c r="H601" s="12"/>
    </row>
    <row r="602">
      <c r="A602" s="134"/>
      <c r="B602" s="12"/>
      <c r="C602" s="135"/>
      <c r="D602" s="12"/>
      <c r="E602" s="136"/>
      <c r="H602" s="12"/>
    </row>
    <row r="603">
      <c r="A603" s="134"/>
      <c r="B603" s="12"/>
      <c r="C603" s="135"/>
      <c r="D603" s="12"/>
      <c r="E603" s="136"/>
      <c r="H603" s="12"/>
    </row>
    <row r="604">
      <c r="A604" s="134"/>
      <c r="B604" s="12"/>
      <c r="C604" s="135"/>
      <c r="D604" s="12"/>
      <c r="E604" s="136"/>
      <c r="H604" s="12"/>
    </row>
    <row r="605">
      <c r="A605" s="134"/>
      <c r="B605" s="12"/>
      <c r="C605" s="135"/>
      <c r="D605" s="12"/>
      <c r="E605" s="136"/>
      <c r="H605" s="12"/>
    </row>
    <row r="606">
      <c r="A606" s="134"/>
      <c r="B606" s="12"/>
      <c r="C606" s="135"/>
      <c r="D606" s="12"/>
      <c r="E606" s="136"/>
      <c r="H606" s="12"/>
    </row>
    <row r="607">
      <c r="A607" s="134"/>
      <c r="B607" s="12"/>
      <c r="C607" s="135"/>
      <c r="D607" s="12"/>
      <c r="E607" s="136"/>
      <c r="H607" s="12"/>
    </row>
    <row r="608">
      <c r="A608" s="134"/>
      <c r="B608" s="12"/>
      <c r="C608" s="135"/>
      <c r="D608" s="12"/>
      <c r="E608" s="136"/>
      <c r="H608" s="12"/>
    </row>
    <row r="609">
      <c r="A609" s="134"/>
      <c r="B609" s="12"/>
      <c r="C609" s="135"/>
      <c r="D609" s="12"/>
      <c r="E609" s="136"/>
      <c r="H609" s="12"/>
    </row>
    <row r="610">
      <c r="A610" s="134"/>
      <c r="B610" s="12"/>
      <c r="C610" s="135"/>
      <c r="D610" s="12"/>
      <c r="E610" s="136"/>
      <c r="H610" s="12"/>
    </row>
    <row r="611">
      <c r="A611" s="134"/>
      <c r="B611" s="12"/>
      <c r="C611" s="135"/>
      <c r="D611" s="12"/>
      <c r="E611" s="136"/>
      <c r="H611" s="12"/>
    </row>
    <row r="612">
      <c r="A612" s="134"/>
      <c r="B612" s="12"/>
      <c r="C612" s="135"/>
      <c r="D612" s="12"/>
      <c r="E612" s="136"/>
      <c r="H612" s="12"/>
    </row>
    <row r="613">
      <c r="A613" s="134"/>
      <c r="B613" s="12"/>
      <c r="C613" s="135"/>
      <c r="D613" s="12"/>
      <c r="E613" s="136"/>
      <c r="H613" s="12"/>
    </row>
    <row r="614">
      <c r="A614" s="134"/>
      <c r="B614" s="12"/>
      <c r="C614" s="135"/>
      <c r="D614" s="12"/>
      <c r="E614" s="136"/>
      <c r="H614" s="12"/>
    </row>
    <row r="615">
      <c r="A615" s="134"/>
      <c r="B615" s="12"/>
      <c r="C615" s="135"/>
      <c r="D615" s="12"/>
      <c r="E615" s="136"/>
      <c r="H615" s="12"/>
    </row>
    <row r="616">
      <c r="A616" s="134"/>
      <c r="B616" s="12"/>
      <c r="C616" s="135"/>
      <c r="D616" s="12"/>
      <c r="E616" s="136"/>
      <c r="H616" s="12"/>
    </row>
    <row r="617">
      <c r="A617" s="134"/>
      <c r="B617" s="12"/>
      <c r="C617" s="135"/>
      <c r="D617" s="12"/>
      <c r="E617" s="136"/>
      <c r="H617" s="12"/>
    </row>
    <row r="618">
      <c r="A618" s="134"/>
      <c r="B618" s="12"/>
      <c r="C618" s="135"/>
      <c r="D618" s="12"/>
      <c r="E618" s="136"/>
      <c r="H618" s="12"/>
    </row>
    <row r="619">
      <c r="A619" s="134"/>
      <c r="B619" s="12"/>
      <c r="C619" s="135"/>
      <c r="D619" s="12"/>
      <c r="E619" s="136"/>
      <c r="H619" s="12"/>
    </row>
    <row r="620">
      <c r="A620" s="134"/>
      <c r="B620" s="12"/>
      <c r="C620" s="135"/>
      <c r="D620" s="12"/>
      <c r="E620" s="136"/>
      <c r="H620" s="12"/>
    </row>
    <row r="621">
      <c r="A621" s="134"/>
      <c r="B621" s="12"/>
      <c r="C621" s="135"/>
      <c r="D621" s="12"/>
      <c r="E621" s="136"/>
      <c r="H621" s="12"/>
    </row>
    <row r="622">
      <c r="A622" s="134"/>
      <c r="B622" s="12"/>
      <c r="C622" s="135"/>
      <c r="D622" s="12"/>
      <c r="E622" s="136"/>
      <c r="H622" s="12"/>
    </row>
    <row r="623">
      <c r="A623" s="134"/>
      <c r="B623" s="12"/>
      <c r="C623" s="135"/>
      <c r="D623" s="12"/>
      <c r="E623" s="136"/>
      <c r="H623" s="12"/>
    </row>
    <row r="624">
      <c r="A624" s="134"/>
      <c r="B624" s="12"/>
      <c r="C624" s="135"/>
      <c r="D624" s="12"/>
      <c r="E624" s="136"/>
      <c r="H624" s="12"/>
    </row>
    <row r="625">
      <c r="A625" s="134"/>
      <c r="B625" s="12"/>
      <c r="C625" s="135"/>
      <c r="D625" s="12"/>
      <c r="E625" s="136"/>
      <c r="H625" s="12"/>
    </row>
    <row r="626">
      <c r="A626" s="134"/>
      <c r="B626" s="12"/>
      <c r="C626" s="135"/>
      <c r="D626" s="12"/>
      <c r="E626" s="136"/>
      <c r="H626" s="12"/>
    </row>
    <row r="627">
      <c r="A627" s="134"/>
      <c r="B627" s="12"/>
      <c r="C627" s="135"/>
      <c r="D627" s="12"/>
      <c r="E627" s="136"/>
      <c r="H627" s="12"/>
    </row>
    <row r="628">
      <c r="A628" s="134"/>
      <c r="B628" s="12"/>
      <c r="C628" s="135"/>
      <c r="D628" s="12"/>
      <c r="E628" s="136"/>
      <c r="H628" s="12"/>
    </row>
    <row r="629">
      <c r="A629" s="134"/>
      <c r="B629" s="12"/>
      <c r="C629" s="135"/>
      <c r="D629" s="12"/>
      <c r="E629" s="136"/>
      <c r="H629" s="12"/>
    </row>
    <row r="630">
      <c r="A630" s="134"/>
      <c r="B630" s="12"/>
      <c r="C630" s="135"/>
      <c r="D630" s="12"/>
      <c r="E630" s="136"/>
      <c r="H630" s="12"/>
    </row>
    <row r="631">
      <c r="A631" s="134"/>
      <c r="B631" s="12"/>
      <c r="C631" s="135"/>
      <c r="D631" s="12"/>
      <c r="E631" s="136"/>
      <c r="H631" s="12"/>
    </row>
    <row r="632">
      <c r="A632" s="134"/>
      <c r="B632" s="12"/>
      <c r="C632" s="135"/>
      <c r="D632" s="12"/>
      <c r="E632" s="136"/>
      <c r="H632" s="12"/>
    </row>
    <row r="633">
      <c r="A633" s="134"/>
      <c r="B633" s="12"/>
      <c r="C633" s="135"/>
      <c r="D633" s="12"/>
      <c r="E633" s="136"/>
      <c r="H633" s="12"/>
    </row>
    <row r="634">
      <c r="A634" s="134"/>
      <c r="B634" s="12"/>
      <c r="C634" s="135"/>
      <c r="D634" s="12"/>
      <c r="E634" s="136"/>
      <c r="H634" s="12"/>
    </row>
    <row r="635">
      <c r="A635" s="134"/>
      <c r="B635" s="12"/>
      <c r="C635" s="135"/>
      <c r="D635" s="12"/>
      <c r="E635" s="136"/>
      <c r="H635" s="12"/>
    </row>
    <row r="636">
      <c r="A636" s="134"/>
      <c r="B636" s="12"/>
      <c r="C636" s="135"/>
      <c r="D636" s="12"/>
      <c r="E636" s="136"/>
      <c r="H636" s="12"/>
    </row>
    <row r="637">
      <c r="A637" s="134"/>
      <c r="B637" s="12"/>
      <c r="C637" s="135"/>
      <c r="D637" s="12"/>
      <c r="E637" s="136"/>
      <c r="H637" s="12"/>
    </row>
    <row r="638">
      <c r="A638" s="134"/>
      <c r="B638" s="12"/>
      <c r="C638" s="135"/>
      <c r="D638" s="12"/>
      <c r="E638" s="136"/>
      <c r="H638" s="12"/>
    </row>
    <row r="639">
      <c r="A639" s="134"/>
      <c r="B639" s="12"/>
      <c r="C639" s="135"/>
      <c r="D639" s="12"/>
      <c r="E639" s="136"/>
      <c r="H639" s="12"/>
    </row>
    <row r="640">
      <c r="A640" s="134"/>
      <c r="B640" s="12"/>
      <c r="C640" s="135"/>
      <c r="D640" s="12"/>
      <c r="E640" s="136"/>
      <c r="H640" s="12"/>
    </row>
    <row r="641">
      <c r="A641" s="134"/>
      <c r="B641" s="12"/>
      <c r="C641" s="135"/>
      <c r="D641" s="12"/>
      <c r="E641" s="136"/>
      <c r="H641" s="12"/>
    </row>
    <row r="642">
      <c r="A642" s="134"/>
      <c r="B642" s="12"/>
      <c r="C642" s="135"/>
      <c r="D642" s="12"/>
      <c r="E642" s="136"/>
      <c r="H642" s="12"/>
    </row>
    <row r="643">
      <c r="A643" s="134"/>
      <c r="B643" s="12"/>
      <c r="C643" s="135"/>
      <c r="D643" s="12"/>
      <c r="E643" s="136"/>
      <c r="H643" s="12"/>
    </row>
    <row r="644">
      <c r="A644" s="134"/>
      <c r="B644" s="12"/>
      <c r="C644" s="135"/>
      <c r="D644" s="12"/>
      <c r="E644" s="136"/>
      <c r="H644" s="12"/>
    </row>
    <row r="645">
      <c r="A645" s="134"/>
      <c r="B645" s="12"/>
      <c r="C645" s="135"/>
      <c r="D645" s="12"/>
      <c r="E645" s="136"/>
      <c r="H645" s="12"/>
    </row>
    <row r="646">
      <c r="A646" s="134"/>
      <c r="B646" s="12"/>
      <c r="C646" s="135"/>
      <c r="D646" s="12"/>
      <c r="E646" s="136"/>
      <c r="H646" s="12"/>
    </row>
    <row r="647">
      <c r="A647" s="134"/>
      <c r="B647" s="12"/>
      <c r="C647" s="135"/>
      <c r="D647" s="12"/>
      <c r="E647" s="136"/>
      <c r="H647" s="12"/>
    </row>
    <row r="648">
      <c r="A648" s="134"/>
      <c r="B648" s="12"/>
      <c r="C648" s="135"/>
      <c r="D648" s="12"/>
      <c r="E648" s="136"/>
      <c r="H648" s="12"/>
    </row>
    <row r="649">
      <c r="A649" s="134"/>
      <c r="B649" s="12"/>
      <c r="C649" s="135"/>
      <c r="D649" s="12"/>
      <c r="E649" s="136"/>
      <c r="H649" s="12"/>
    </row>
    <row r="650">
      <c r="A650" s="134"/>
      <c r="B650" s="12"/>
      <c r="C650" s="135"/>
      <c r="D650" s="12"/>
      <c r="E650" s="136"/>
      <c r="H650" s="12"/>
    </row>
    <row r="651">
      <c r="A651" s="134"/>
      <c r="B651" s="12"/>
      <c r="C651" s="135"/>
      <c r="D651" s="12"/>
      <c r="E651" s="136"/>
      <c r="H651" s="12"/>
    </row>
    <row r="652">
      <c r="A652" s="134"/>
      <c r="B652" s="12"/>
      <c r="C652" s="135"/>
      <c r="D652" s="12"/>
      <c r="E652" s="136"/>
      <c r="H652" s="12"/>
    </row>
    <row r="653">
      <c r="A653" s="134"/>
      <c r="B653" s="12"/>
      <c r="C653" s="135"/>
      <c r="D653" s="12"/>
      <c r="E653" s="136"/>
      <c r="H653" s="12"/>
    </row>
    <row r="654">
      <c r="A654" s="134"/>
      <c r="B654" s="12"/>
      <c r="C654" s="135"/>
      <c r="D654" s="12"/>
      <c r="E654" s="136"/>
      <c r="H654" s="12"/>
    </row>
    <row r="655">
      <c r="A655" s="134"/>
      <c r="B655" s="12"/>
      <c r="C655" s="135"/>
      <c r="D655" s="12"/>
      <c r="E655" s="136"/>
      <c r="H655" s="12"/>
    </row>
    <row r="656">
      <c r="A656" s="134"/>
      <c r="B656" s="12"/>
      <c r="C656" s="135"/>
      <c r="D656" s="12"/>
      <c r="E656" s="136"/>
      <c r="H656" s="12"/>
    </row>
    <row r="657">
      <c r="A657" s="134"/>
      <c r="B657" s="12"/>
      <c r="C657" s="135"/>
      <c r="D657" s="12"/>
      <c r="E657" s="136"/>
      <c r="H657" s="12"/>
    </row>
    <row r="658">
      <c r="A658" s="134"/>
      <c r="B658" s="12"/>
      <c r="C658" s="135"/>
      <c r="D658" s="12"/>
      <c r="E658" s="136"/>
      <c r="H658" s="12"/>
    </row>
    <row r="659">
      <c r="A659" s="134"/>
      <c r="B659" s="12"/>
      <c r="C659" s="135"/>
      <c r="D659" s="12"/>
      <c r="E659" s="136"/>
      <c r="H659" s="12"/>
    </row>
    <row r="660">
      <c r="A660" s="134"/>
      <c r="B660" s="12"/>
      <c r="C660" s="135"/>
      <c r="D660" s="12"/>
      <c r="E660" s="136"/>
      <c r="H660" s="12"/>
    </row>
    <row r="661">
      <c r="A661" s="134"/>
      <c r="B661" s="12"/>
      <c r="C661" s="135"/>
      <c r="D661" s="12"/>
      <c r="E661" s="136"/>
      <c r="H661" s="12"/>
    </row>
    <row r="662">
      <c r="A662" s="134"/>
      <c r="B662" s="12"/>
      <c r="C662" s="135"/>
      <c r="D662" s="12"/>
      <c r="E662" s="136"/>
      <c r="H662" s="12"/>
    </row>
    <row r="663">
      <c r="A663" s="134"/>
      <c r="B663" s="12"/>
      <c r="C663" s="135"/>
      <c r="D663" s="12"/>
      <c r="E663" s="136"/>
      <c r="H663" s="12"/>
    </row>
    <row r="664">
      <c r="A664" s="134"/>
      <c r="B664" s="12"/>
      <c r="C664" s="135"/>
      <c r="D664" s="12"/>
      <c r="E664" s="136"/>
      <c r="H664" s="12"/>
    </row>
    <row r="665">
      <c r="A665" s="134"/>
      <c r="B665" s="12"/>
      <c r="C665" s="135"/>
      <c r="D665" s="12"/>
      <c r="E665" s="136"/>
      <c r="H665" s="12"/>
    </row>
    <row r="666">
      <c r="A666" s="134"/>
      <c r="B666" s="12"/>
      <c r="C666" s="135"/>
      <c r="D666" s="12"/>
      <c r="E666" s="136"/>
      <c r="H666" s="12"/>
    </row>
    <row r="667">
      <c r="A667" s="134"/>
      <c r="B667" s="12"/>
      <c r="C667" s="135"/>
      <c r="D667" s="12"/>
      <c r="E667" s="136"/>
      <c r="H667" s="12"/>
    </row>
    <row r="668">
      <c r="A668" s="134"/>
      <c r="B668" s="12"/>
      <c r="C668" s="135"/>
      <c r="D668" s="12"/>
      <c r="E668" s="136"/>
      <c r="H668" s="12"/>
    </row>
    <row r="669">
      <c r="A669" s="134"/>
      <c r="B669" s="12"/>
      <c r="C669" s="135"/>
      <c r="D669" s="12"/>
      <c r="E669" s="136"/>
      <c r="H669" s="12"/>
    </row>
    <row r="670">
      <c r="A670" s="134"/>
      <c r="B670" s="12"/>
      <c r="C670" s="135"/>
      <c r="D670" s="12"/>
      <c r="E670" s="136"/>
      <c r="H670" s="12"/>
    </row>
    <row r="671">
      <c r="A671" s="134"/>
      <c r="B671" s="12"/>
      <c r="C671" s="135"/>
      <c r="D671" s="12"/>
      <c r="E671" s="136"/>
      <c r="H671" s="12"/>
    </row>
    <row r="672">
      <c r="A672" s="134"/>
      <c r="B672" s="12"/>
      <c r="C672" s="135"/>
      <c r="D672" s="12"/>
      <c r="E672" s="136"/>
      <c r="H672" s="12"/>
    </row>
    <row r="673">
      <c r="A673" s="134"/>
      <c r="B673" s="12"/>
      <c r="C673" s="135"/>
      <c r="D673" s="12"/>
      <c r="E673" s="136"/>
      <c r="H673" s="12"/>
    </row>
    <row r="674">
      <c r="A674" s="134"/>
      <c r="B674" s="12"/>
      <c r="C674" s="135"/>
      <c r="D674" s="12"/>
      <c r="E674" s="136"/>
      <c r="H674" s="12"/>
    </row>
    <row r="675">
      <c r="A675" s="134"/>
      <c r="B675" s="12"/>
      <c r="C675" s="135"/>
      <c r="D675" s="12"/>
      <c r="E675" s="136"/>
      <c r="H675" s="12"/>
    </row>
    <row r="676">
      <c r="A676" s="134"/>
      <c r="B676" s="12"/>
      <c r="C676" s="135"/>
      <c r="D676" s="12"/>
      <c r="E676" s="136"/>
      <c r="H676" s="12"/>
    </row>
    <row r="677">
      <c r="A677" s="134"/>
      <c r="B677" s="12"/>
      <c r="C677" s="135"/>
      <c r="D677" s="12"/>
      <c r="E677" s="136"/>
      <c r="H677" s="12"/>
    </row>
    <row r="678">
      <c r="A678" s="134"/>
      <c r="B678" s="12"/>
      <c r="C678" s="135"/>
      <c r="D678" s="12"/>
      <c r="E678" s="136"/>
      <c r="H678" s="12"/>
    </row>
    <row r="679">
      <c r="A679" s="134"/>
      <c r="B679" s="12"/>
      <c r="C679" s="135"/>
      <c r="D679" s="12"/>
      <c r="E679" s="136"/>
      <c r="H679" s="12"/>
    </row>
    <row r="680">
      <c r="A680" s="134"/>
      <c r="B680" s="12"/>
      <c r="C680" s="135"/>
      <c r="D680" s="12"/>
      <c r="E680" s="136"/>
      <c r="H680" s="12"/>
    </row>
    <row r="681">
      <c r="A681" s="134"/>
      <c r="B681" s="12"/>
      <c r="C681" s="135"/>
      <c r="D681" s="12"/>
      <c r="E681" s="136"/>
      <c r="H681" s="12"/>
    </row>
    <row r="682">
      <c r="A682" s="134"/>
      <c r="B682" s="12"/>
      <c r="C682" s="135"/>
      <c r="D682" s="12"/>
      <c r="E682" s="136"/>
      <c r="H682" s="12"/>
    </row>
    <row r="683">
      <c r="A683" s="134"/>
      <c r="B683" s="12"/>
      <c r="C683" s="135"/>
      <c r="D683" s="12"/>
      <c r="E683" s="136"/>
      <c r="H683" s="12"/>
    </row>
    <row r="684">
      <c r="A684" s="134"/>
      <c r="B684" s="12"/>
      <c r="C684" s="135"/>
      <c r="D684" s="12"/>
      <c r="E684" s="136"/>
      <c r="H684" s="12"/>
    </row>
    <row r="685">
      <c r="A685" s="134"/>
      <c r="B685" s="12"/>
      <c r="C685" s="135"/>
      <c r="D685" s="12"/>
      <c r="E685" s="136"/>
      <c r="H685" s="12"/>
    </row>
    <row r="686">
      <c r="A686" s="134"/>
      <c r="B686" s="12"/>
      <c r="C686" s="135"/>
      <c r="D686" s="12"/>
      <c r="E686" s="136"/>
      <c r="H686" s="12"/>
    </row>
    <row r="687">
      <c r="A687" s="134"/>
      <c r="B687" s="12"/>
      <c r="C687" s="135"/>
      <c r="D687" s="12"/>
      <c r="E687" s="136"/>
      <c r="H687" s="12"/>
    </row>
    <row r="688">
      <c r="A688" s="134"/>
      <c r="B688" s="12"/>
      <c r="C688" s="135"/>
      <c r="D688" s="12"/>
      <c r="E688" s="136"/>
      <c r="H688" s="12"/>
    </row>
    <row r="689">
      <c r="A689" s="134"/>
      <c r="B689" s="12"/>
      <c r="C689" s="135"/>
      <c r="D689" s="12"/>
      <c r="E689" s="136"/>
      <c r="H689" s="12"/>
    </row>
    <row r="690">
      <c r="A690" s="134"/>
      <c r="B690" s="12"/>
      <c r="C690" s="135"/>
      <c r="D690" s="12"/>
      <c r="E690" s="136"/>
      <c r="H690" s="12"/>
    </row>
    <row r="691">
      <c r="A691" s="134"/>
      <c r="B691" s="12"/>
      <c r="C691" s="135"/>
      <c r="D691" s="12"/>
      <c r="E691" s="136"/>
      <c r="H691" s="12"/>
    </row>
    <row r="692">
      <c r="A692" s="134"/>
      <c r="B692" s="12"/>
      <c r="C692" s="135"/>
      <c r="D692" s="12"/>
      <c r="E692" s="136"/>
      <c r="H692" s="12"/>
    </row>
    <row r="693">
      <c r="A693" s="134"/>
      <c r="B693" s="12"/>
      <c r="C693" s="135"/>
      <c r="D693" s="12"/>
      <c r="E693" s="136"/>
      <c r="H693" s="12"/>
    </row>
    <row r="694">
      <c r="A694" s="134"/>
      <c r="B694" s="12"/>
      <c r="C694" s="135"/>
      <c r="D694" s="12"/>
      <c r="E694" s="136"/>
      <c r="H694" s="12"/>
    </row>
    <row r="695">
      <c r="A695" s="134"/>
      <c r="B695" s="12"/>
      <c r="C695" s="135"/>
      <c r="D695" s="12"/>
      <c r="E695" s="136"/>
      <c r="H695" s="12"/>
    </row>
    <row r="696">
      <c r="A696" s="134"/>
      <c r="B696" s="12"/>
      <c r="C696" s="135"/>
      <c r="D696" s="12"/>
      <c r="E696" s="136"/>
      <c r="H696" s="12"/>
    </row>
    <row r="697">
      <c r="A697" s="134"/>
      <c r="B697" s="12"/>
      <c r="C697" s="135"/>
      <c r="D697" s="12"/>
      <c r="E697" s="136"/>
      <c r="H697" s="12"/>
    </row>
    <row r="698">
      <c r="A698" s="134"/>
      <c r="B698" s="12"/>
      <c r="C698" s="135"/>
      <c r="D698" s="12"/>
      <c r="E698" s="136"/>
      <c r="H698" s="12"/>
    </row>
    <row r="699">
      <c r="A699" s="134"/>
      <c r="B699" s="12"/>
      <c r="C699" s="135"/>
      <c r="D699" s="12"/>
      <c r="E699" s="136"/>
      <c r="H699" s="12"/>
    </row>
    <row r="700">
      <c r="A700" s="134"/>
      <c r="B700" s="12"/>
      <c r="C700" s="135"/>
      <c r="D700" s="12"/>
      <c r="E700" s="136"/>
      <c r="H700" s="12"/>
    </row>
    <row r="701">
      <c r="A701" s="134"/>
      <c r="B701" s="12"/>
      <c r="C701" s="135"/>
      <c r="D701" s="12"/>
      <c r="E701" s="136"/>
      <c r="H701" s="12"/>
    </row>
    <row r="702">
      <c r="A702" s="134"/>
      <c r="B702" s="12"/>
      <c r="C702" s="135"/>
      <c r="D702" s="12"/>
      <c r="E702" s="136"/>
      <c r="H702" s="12"/>
    </row>
    <row r="703">
      <c r="A703" s="134"/>
      <c r="B703" s="12"/>
      <c r="C703" s="135"/>
      <c r="D703" s="12"/>
      <c r="E703" s="136"/>
      <c r="H703" s="12"/>
    </row>
    <row r="704">
      <c r="A704" s="134"/>
      <c r="B704" s="12"/>
      <c r="C704" s="135"/>
      <c r="D704" s="12"/>
      <c r="E704" s="136"/>
      <c r="H704" s="12"/>
    </row>
    <row r="705">
      <c r="A705" s="134"/>
      <c r="B705" s="12"/>
      <c r="C705" s="135"/>
      <c r="D705" s="12"/>
      <c r="E705" s="136"/>
      <c r="H705" s="12"/>
    </row>
    <row r="706">
      <c r="A706" s="134"/>
      <c r="B706" s="12"/>
      <c r="C706" s="135"/>
      <c r="D706" s="12"/>
      <c r="E706" s="136"/>
      <c r="H706" s="12"/>
    </row>
    <row r="707">
      <c r="A707" s="134"/>
      <c r="B707" s="12"/>
      <c r="C707" s="135"/>
      <c r="D707" s="12"/>
      <c r="E707" s="136"/>
      <c r="H707" s="12"/>
    </row>
    <row r="708">
      <c r="A708" s="134"/>
      <c r="B708" s="12"/>
      <c r="C708" s="135"/>
      <c r="D708" s="12"/>
      <c r="E708" s="136"/>
      <c r="H708" s="12"/>
    </row>
    <row r="709">
      <c r="A709" s="134"/>
      <c r="B709" s="12"/>
      <c r="C709" s="135"/>
      <c r="D709" s="12"/>
      <c r="E709" s="136"/>
      <c r="H709" s="12"/>
    </row>
    <row r="710">
      <c r="A710" s="134"/>
      <c r="B710" s="12"/>
      <c r="C710" s="135"/>
      <c r="D710" s="12"/>
      <c r="E710" s="136"/>
      <c r="H710" s="12"/>
    </row>
    <row r="711">
      <c r="A711" s="134"/>
      <c r="B711" s="12"/>
      <c r="C711" s="135"/>
      <c r="D711" s="12"/>
      <c r="E711" s="136"/>
      <c r="H711" s="12"/>
    </row>
    <row r="712">
      <c r="A712" s="134"/>
      <c r="B712" s="12"/>
      <c r="C712" s="135"/>
      <c r="D712" s="12"/>
      <c r="E712" s="136"/>
      <c r="H712" s="12"/>
    </row>
    <row r="713">
      <c r="A713" s="134"/>
      <c r="B713" s="12"/>
      <c r="C713" s="135"/>
      <c r="D713" s="12"/>
      <c r="E713" s="136"/>
      <c r="H713" s="12"/>
    </row>
    <row r="714">
      <c r="A714" s="134"/>
      <c r="B714" s="12"/>
      <c r="C714" s="135"/>
      <c r="D714" s="12"/>
      <c r="E714" s="136"/>
      <c r="H714" s="12"/>
    </row>
    <row r="715">
      <c r="A715" s="134"/>
      <c r="B715" s="12"/>
      <c r="C715" s="135"/>
      <c r="D715" s="12"/>
      <c r="E715" s="136"/>
      <c r="H715" s="12"/>
    </row>
    <row r="716">
      <c r="A716" s="134"/>
      <c r="B716" s="12"/>
      <c r="C716" s="135"/>
      <c r="D716" s="12"/>
      <c r="E716" s="136"/>
      <c r="H716" s="12"/>
    </row>
    <row r="717">
      <c r="A717" s="134"/>
      <c r="B717" s="12"/>
      <c r="C717" s="135"/>
      <c r="D717" s="12"/>
      <c r="E717" s="136"/>
      <c r="H717" s="12"/>
    </row>
    <row r="718">
      <c r="A718" s="134"/>
      <c r="B718" s="12"/>
      <c r="C718" s="135"/>
      <c r="D718" s="12"/>
      <c r="E718" s="136"/>
      <c r="H718" s="12"/>
    </row>
    <row r="719">
      <c r="A719" s="134"/>
      <c r="B719" s="12"/>
      <c r="C719" s="135"/>
      <c r="D719" s="12"/>
      <c r="E719" s="136"/>
      <c r="H719" s="12"/>
    </row>
    <row r="720">
      <c r="A720" s="134"/>
      <c r="B720" s="12"/>
      <c r="C720" s="135"/>
      <c r="D720" s="12"/>
      <c r="E720" s="136"/>
      <c r="H720" s="12"/>
    </row>
    <row r="721">
      <c r="A721" s="134"/>
      <c r="B721" s="12"/>
      <c r="C721" s="135"/>
      <c r="D721" s="12"/>
      <c r="E721" s="136"/>
      <c r="H721" s="12"/>
    </row>
    <row r="722">
      <c r="A722" s="134"/>
      <c r="B722" s="12"/>
      <c r="C722" s="135"/>
      <c r="D722" s="12"/>
      <c r="E722" s="136"/>
      <c r="H722" s="12"/>
    </row>
    <row r="723">
      <c r="A723" s="134"/>
      <c r="B723" s="12"/>
      <c r="C723" s="135"/>
      <c r="D723" s="12"/>
      <c r="E723" s="136"/>
      <c r="H723" s="12"/>
    </row>
    <row r="724">
      <c r="A724" s="134"/>
      <c r="B724" s="12"/>
      <c r="C724" s="135"/>
      <c r="D724" s="12"/>
      <c r="E724" s="136"/>
      <c r="H724" s="12"/>
    </row>
    <row r="725">
      <c r="A725" s="134"/>
      <c r="B725" s="12"/>
      <c r="C725" s="135"/>
      <c r="D725" s="12"/>
      <c r="E725" s="136"/>
      <c r="H725" s="12"/>
    </row>
    <row r="726">
      <c r="A726" s="134"/>
      <c r="B726" s="12"/>
      <c r="C726" s="135"/>
      <c r="D726" s="12"/>
      <c r="E726" s="136"/>
      <c r="H726" s="12"/>
    </row>
    <row r="727">
      <c r="A727" s="134"/>
      <c r="B727" s="12"/>
      <c r="C727" s="135"/>
      <c r="D727" s="12"/>
      <c r="E727" s="136"/>
      <c r="H727" s="12"/>
    </row>
    <row r="728">
      <c r="A728" s="134"/>
      <c r="B728" s="12"/>
      <c r="C728" s="135"/>
      <c r="D728" s="12"/>
      <c r="E728" s="136"/>
      <c r="H728" s="12"/>
    </row>
    <row r="729">
      <c r="A729" s="134"/>
      <c r="B729" s="12"/>
      <c r="C729" s="135"/>
      <c r="D729" s="12"/>
      <c r="E729" s="136"/>
      <c r="H729" s="12"/>
    </row>
    <row r="730">
      <c r="A730" s="134"/>
      <c r="B730" s="12"/>
      <c r="C730" s="135"/>
      <c r="D730" s="12"/>
      <c r="E730" s="136"/>
      <c r="H730" s="12"/>
    </row>
    <row r="731">
      <c r="A731" s="134"/>
      <c r="B731" s="12"/>
      <c r="C731" s="135"/>
      <c r="D731" s="12"/>
      <c r="E731" s="136"/>
      <c r="H731" s="12"/>
    </row>
    <row r="732">
      <c r="A732" s="134"/>
      <c r="B732" s="12"/>
      <c r="C732" s="135"/>
      <c r="D732" s="12"/>
      <c r="E732" s="136"/>
      <c r="H732" s="12"/>
    </row>
    <row r="733">
      <c r="A733" s="134"/>
      <c r="B733" s="12"/>
      <c r="C733" s="135"/>
      <c r="D733" s="12"/>
      <c r="E733" s="136"/>
      <c r="H733" s="12"/>
    </row>
    <row r="734">
      <c r="A734" s="134"/>
      <c r="B734" s="12"/>
      <c r="C734" s="135"/>
      <c r="D734" s="12"/>
      <c r="E734" s="136"/>
      <c r="H734" s="12"/>
    </row>
    <row r="735">
      <c r="A735" s="134"/>
      <c r="B735" s="12"/>
      <c r="C735" s="135"/>
      <c r="D735" s="12"/>
      <c r="E735" s="136"/>
      <c r="H735" s="12"/>
    </row>
    <row r="736">
      <c r="A736" s="134"/>
      <c r="B736" s="12"/>
      <c r="C736" s="135"/>
      <c r="D736" s="12"/>
      <c r="E736" s="136"/>
      <c r="H736" s="12"/>
    </row>
    <row r="737">
      <c r="A737" s="134"/>
      <c r="B737" s="12"/>
      <c r="C737" s="135"/>
      <c r="D737" s="12"/>
      <c r="E737" s="136"/>
      <c r="H737" s="12"/>
    </row>
    <row r="738">
      <c r="A738" s="134"/>
      <c r="B738" s="12"/>
      <c r="C738" s="135"/>
      <c r="D738" s="12"/>
      <c r="E738" s="136"/>
      <c r="H738" s="12"/>
    </row>
    <row r="739">
      <c r="A739" s="134"/>
      <c r="B739" s="12"/>
      <c r="C739" s="135"/>
      <c r="D739" s="12"/>
      <c r="E739" s="136"/>
      <c r="H739" s="12"/>
    </row>
    <row r="740">
      <c r="A740" s="134"/>
      <c r="B740" s="12"/>
      <c r="C740" s="135"/>
      <c r="D740" s="12"/>
      <c r="E740" s="136"/>
      <c r="H740" s="12"/>
    </row>
    <row r="741">
      <c r="A741" s="134"/>
      <c r="B741" s="12"/>
      <c r="C741" s="135"/>
      <c r="D741" s="12"/>
      <c r="E741" s="136"/>
      <c r="H741" s="12"/>
    </row>
    <row r="742">
      <c r="A742" s="134"/>
      <c r="B742" s="12"/>
      <c r="C742" s="135"/>
      <c r="D742" s="12"/>
      <c r="E742" s="136"/>
      <c r="H742" s="12"/>
    </row>
    <row r="743">
      <c r="A743" s="134"/>
      <c r="B743" s="12"/>
      <c r="C743" s="135"/>
      <c r="D743" s="12"/>
      <c r="E743" s="136"/>
      <c r="H743" s="12"/>
    </row>
    <row r="744">
      <c r="A744" s="134"/>
      <c r="B744" s="12"/>
      <c r="C744" s="135"/>
      <c r="D744" s="12"/>
      <c r="E744" s="136"/>
      <c r="H744" s="12"/>
    </row>
    <row r="745">
      <c r="A745" s="134"/>
      <c r="B745" s="12"/>
      <c r="C745" s="135"/>
      <c r="D745" s="12"/>
      <c r="E745" s="136"/>
      <c r="H745" s="12"/>
    </row>
    <row r="746">
      <c r="A746" s="134"/>
      <c r="B746" s="12"/>
      <c r="C746" s="135"/>
      <c r="D746" s="12"/>
      <c r="E746" s="136"/>
      <c r="H746" s="12"/>
    </row>
    <row r="747">
      <c r="A747" s="134"/>
      <c r="B747" s="12"/>
      <c r="C747" s="135"/>
      <c r="D747" s="12"/>
      <c r="E747" s="136"/>
      <c r="H747" s="12"/>
    </row>
    <row r="748">
      <c r="A748" s="134"/>
      <c r="B748" s="12"/>
      <c r="C748" s="135"/>
      <c r="D748" s="12"/>
      <c r="E748" s="136"/>
      <c r="H748" s="12"/>
    </row>
    <row r="749">
      <c r="A749" s="134"/>
      <c r="B749" s="12"/>
      <c r="C749" s="135"/>
      <c r="D749" s="12"/>
      <c r="E749" s="136"/>
      <c r="H749" s="12"/>
    </row>
    <row r="750">
      <c r="A750" s="134"/>
      <c r="B750" s="12"/>
      <c r="C750" s="135"/>
      <c r="D750" s="12"/>
      <c r="E750" s="136"/>
      <c r="H750" s="12"/>
    </row>
    <row r="751">
      <c r="A751" s="134"/>
      <c r="B751" s="12"/>
      <c r="C751" s="135"/>
      <c r="D751" s="12"/>
      <c r="E751" s="136"/>
      <c r="H751" s="12"/>
    </row>
    <row r="752">
      <c r="A752" s="134"/>
      <c r="B752" s="12"/>
      <c r="C752" s="135"/>
      <c r="D752" s="12"/>
      <c r="E752" s="136"/>
      <c r="H752" s="12"/>
    </row>
    <row r="753">
      <c r="A753" s="134"/>
      <c r="B753" s="12"/>
      <c r="C753" s="135"/>
      <c r="D753" s="12"/>
      <c r="E753" s="136"/>
      <c r="H753" s="12"/>
    </row>
    <row r="754">
      <c r="A754" s="134"/>
      <c r="B754" s="12"/>
      <c r="C754" s="135"/>
      <c r="D754" s="12"/>
      <c r="E754" s="136"/>
      <c r="H754" s="12"/>
    </row>
    <row r="755">
      <c r="A755" s="134"/>
      <c r="B755" s="12"/>
      <c r="C755" s="135"/>
      <c r="D755" s="12"/>
      <c r="E755" s="136"/>
      <c r="H755" s="12"/>
    </row>
    <row r="756">
      <c r="A756" s="134"/>
      <c r="B756" s="12"/>
      <c r="C756" s="135"/>
      <c r="D756" s="12"/>
      <c r="E756" s="136"/>
      <c r="H756" s="12"/>
    </row>
    <row r="757">
      <c r="A757" s="134"/>
      <c r="B757" s="12"/>
      <c r="C757" s="135"/>
      <c r="D757" s="12"/>
      <c r="E757" s="136"/>
      <c r="H757" s="12"/>
    </row>
    <row r="758">
      <c r="A758" s="134"/>
      <c r="B758" s="12"/>
      <c r="C758" s="135"/>
      <c r="D758" s="12"/>
      <c r="E758" s="136"/>
      <c r="H758" s="12"/>
    </row>
    <row r="759">
      <c r="A759" s="134"/>
      <c r="B759" s="12"/>
      <c r="C759" s="135"/>
      <c r="D759" s="12"/>
      <c r="E759" s="136"/>
      <c r="H759" s="12"/>
    </row>
    <row r="760">
      <c r="A760" s="134"/>
      <c r="B760" s="12"/>
      <c r="C760" s="135"/>
      <c r="D760" s="12"/>
      <c r="E760" s="136"/>
      <c r="H760" s="12"/>
    </row>
    <row r="761">
      <c r="A761" s="134"/>
      <c r="B761" s="12"/>
      <c r="C761" s="135"/>
      <c r="D761" s="12"/>
      <c r="E761" s="136"/>
      <c r="H761" s="12"/>
    </row>
    <row r="762">
      <c r="A762" s="134"/>
      <c r="B762" s="12"/>
      <c r="C762" s="135"/>
      <c r="D762" s="12"/>
      <c r="E762" s="136"/>
      <c r="H762" s="12"/>
    </row>
    <row r="763">
      <c r="A763" s="134"/>
      <c r="B763" s="12"/>
      <c r="C763" s="135"/>
      <c r="D763" s="12"/>
      <c r="E763" s="136"/>
      <c r="H763" s="12"/>
    </row>
    <row r="764">
      <c r="A764" s="134"/>
      <c r="B764" s="12"/>
      <c r="C764" s="135"/>
      <c r="D764" s="12"/>
      <c r="E764" s="136"/>
      <c r="H764" s="12"/>
    </row>
    <row r="765">
      <c r="A765" s="134"/>
      <c r="B765" s="12"/>
      <c r="C765" s="135"/>
      <c r="D765" s="12"/>
      <c r="E765" s="136"/>
      <c r="H765" s="12"/>
    </row>
    <row r="766">
      <c r="A766" s="134"/>
      <c r="B766" s="12"/>
      <c r="C766" s="135"/>
      <c r="D766" s="12"/>
      <c r="E766" s="136"/>
      <c r="H766" s="12"/>
    </row>
    <row r="767">
      <c r="A767" s="134"/>
      <c r="B767" s="12"/>
      <c r="C767" s="135"/>
      <c r="D767" s="12"/>
      <c r="E767" s="136"/>
      <c r="H767" s="12"/>
    </row>
    <row r="768">
      <c r="A768" s="134"/>
      <c r="B768" s="12"/>
      <c r="C768" s="135"/>
      <c r="D768" s="12"/>
      <c r="E768" s="136"/>
      <c r="H768" s="12"/>
    </row>
    <row r="769">
      <c r="A769" s="134"/>
      <c r="B769" s="12"/>
      <c r="C769" s="135"/>
      <c r="D769" s="12"/>
      <c r="E769" s="136"/>
      <c r="H769" s="12"/>
    </row>
    <row r="770">
      <c r="A770" s="134"/>
      <c r="B770" s="12"/>
      <c r="C770" s="135"/>
      <c r="D770" s="12"/>
      <c r="E770" s="136"/>
      <c r="H770" s="12"/>
    </row>
    <row r="771">
      <c r="A771" s="134"/>
      <c r="B771" s="12"/>
      <c r="C771" s="135"/>
      <c r="D771" s="12"/>
      <c r="E771" s="136"/>
      <c r="H771" s="12"/>
    </row>
    <row r="772">
      <c r="A772" s="134"/>
      <c r="B772" s="12"/>
      <c r="C772" s="135"/>
      <c r="D772" s="12"/>
      <c r="E772" s="136"/>
      <c r="H772" s="12"/>
    </row>
    <row r="773">
      <c r="A773" s="134"/>
      <c r="B773" s="12"/>
      <c r="C773" s="135"/>
      <c r="D773" s="12"/>
      <c r="E773" s="136"/>
      <c r="H773" s="12"/>
    </row>
    <row r="774">
      <c r="A774" s="134"/>
      <c r="B774" s="12"/>
      <c r="C774" s="135"/>
      <c r="D774" s="12"/>
      <c r="E774" s="136"/>
      <c r="H774" s="12"/>
    </row>
    <row r="775">
      <c r="A775" s="134"/>
      <c r="B775" s="12"/>
      <c r="C775" s="135"/>
      <c r="D775" s="12"/>
      <c r="E775" s="136"/>
      <c r="H775" s="12"/>
    </row>
    <row r="776">
      <c r="A776" s="134"/>
      <c r="B776" s="12"/>
      <c r="C776" s="135"/>
      <c r="D776" s="12"/>
      <c r="E776" s="136"/>
      <c r="H776" s="12"/>
    </row>
    <row r="777">
      <c r="A777" s="134"/>
      <c r="B777" s="12"/>
      <c r="C777" s="135"/>
      <c r="D777" s="12"/>
      <c r="E777" s="136"/>
      <c r="H777" s="12"/>
    </row>
    <row r="778">
      <c r="A778" s="134"/>
      <c r="B778" s="12"/>
      <c r="C778" s="135"/>
      <c r="D778" s="12"/>
      <c r="E778" s="136"/>
      <c r="H778" s="12"/>
    </row>
    <row r="779">
      <c r="A779" s="134"/>
      <c r="B779" s="12"/>
      <c r="C779" s="135"/>
      <c r="D779" s="12"/>
      <c r="E779" s="136"/>
      <c r="H779" s="12"/>
    </row>
    <row r="780">
      <c r="A780" s="134"/>
      <c r="B780" s="12"/>
      <c r="C780" s="135"/>
      <c r="D780" s="12"/>
      <c r="E780" s="136"/>
      <c r="H780" s="12"/>
    </row>
    <row r="781">
      <c r="A781" s="134"/>
      <c r="B781" s="12"/>
      <c r="C781" s="135"/>
      <c r="D781" s="12"/>
      <c r="E781" s="136"/>
      <c r="H781" s="12"/>
    </row>
    <row r="782">
      <c r="A782" s="134"/>
      <c r="B782" s="12"/>
      <c r="C782" s="135"/>
      <c r="D782" s="12"/>
      <c r="E782" s="136"/>
      <c r="H782" s="12"/>
    </row>
    <row r="783">
      <c r="A783" s="134"/>
      <c r="B783" s="12"/>
      <c r="C783" s="135"/>
      <c r="D783" s="12"/>
      <c r="E783" s="136"/>
      <c r="H783" s="12"/>
    </row>
    <row r="784">
      <c r="A784" s="134"/>
      <c r="B784" s="12"/>
      <c r="C784" s="135"/>
      <c r="D784" s="12"/>
      <c r="E784" s="136"/>
      <c r="H784" s="12"/>
    </row>
    <row r="785">
      <c r="A785" s="134"/>
      <c r="B785" s="12"/>
      <c r="C785" s="135"/>
      <c r="D785" s="12"/>
      <c r="E785" s="136"/>
      <c r="H785" s="12"/>
    </row>
    <row r="786">
      <c r="A786" s="134"/>
      <c r="B786" s="12"/>
      <c r="C786" s="135"/>
      <c r="D786" s="12"/>
      <c r="E786" s="136"/>
      <c r="H786" s="12"/>
    </row>
    <row r="787">
      <c r="A787" s="134"/>
      <c r="B787" s="12"/>
      <c r="C787" s="135"/>
      <c r="D787" s="12"/>
      <c r="E787" s="136"/>
      <c r="H787" s="12"/>
    </row>
    <row r="788">
      <c r="A788" s="134"/>
      <c r="B788" s="12"/>
      <c r="C788" s="135"/>
      <c r="D788" s="12"/>
      <c r="E788" s="136"/>
      <c r="H788" s="12"/>
    </row>
    <row r="789">
      <c r="A789" s="134"/>
      <c r="B789" s="12"/>
      <c r="C789" s="135"/>
      <c r="D789" s="12"/>
      <c r="E789" s="136"/>
      <c r="H789" s="12"/>
    </row>
    <row r="790">
      <c r="A790" s="134"/>
      <c r="B790" s="12"/>
      <c r="C790" s="135"/>
      <c r="D790" s="12"/>
      <c r="E790" s="136"/>
      <c r="H790" s="12"/>
    </row>
    <row r="791">
      <c r="A791" s="134"/>
      <c r="B791" s="12"/>
      <c r="C791" s="135"/>
      <c r="D791" s="12"/>
      <c r="E791" s="136"/>
      <c r="H791" s="12"/>
    </row>
    <row r="792">
      <c r="A792" s="134"/>
      <c r="B792" s="12"/>
      <c r="C792" s="135"/>
      <c r="D792" s="12"/>
      <c r="E792" s="136"/>
      <c r="H792" s="12"/>
    </row>
    <row r="793">
      <c r="A793" s="134"/>
      <c r="B793" s="12"/>
      <c r="C793" s="135"/>
      <c r="D793" s="12"/>
      <c r="E793" s="136"/>
      <c r="H793" s="12"/>
    </row>
    <row r="794">
      <c r="A794" s="134"/>
      <c r="B794" s="12"/>
      <c r="C794" s="135"/>
      <c r="D794" s="12"/>
      <c r="E794" s="136"/>
      <c r="H794" s="12"/>
    </row>
    <row r="795">
      <c r="A795" s="134"/>
      <c r="B795" s="12"/>
      <c r="C795" s="135"/>
      <c r="D795" s="12"/>
      <c r="E795" s="136"/>
      <c r="H795" s="12"/>
    </row>
    <row r="796">
      <c r="A796" s="134"/>
      <c r="B796" s="12"/>
      <c r="C796" s="135"/>
      <c r="D796" s="12"/>
      <c r="E796" s="136"/>
      <c r="H796" s="12"/>
    </row>
    <row r="797">
      <c r="A797" s="134"/>
      <c r="B797" s="12"/>
      <c r="C797" s="135"/>
      <c r="D797" s="12"/>
      <c r="E797" s="136"/>
      <c r="H797" s="12"/>
    </row>
    <row r="798">
      <c r="A798" s="134"/>
      <c r="B798" s="12"/>
      <c r="C798" s="135"/>
      <c r="D798" s="12"/>
      <c r="E798" s="136"/>
      <c r="H798" s="12"/>
    </row>
    <row r="799">
      <c r="A799" s="134"/>
      <c r="B799" s="12"/>
      <c r="C799" s="135"/>
      <c r="D799" s="12"/>
      <c r="E799" s="136"/>
      <c r="H799" s="12"/>
    </row>
    <row r="800">
      <c r="A800" s="134"/>
      <c r="B800" s="12"/>
      <c r="C800" s="135"/>
      <c r="D800" s="12"/>
      <c r="E800" s="136"/>
      <c r="H800" s="12"/>
    </row>
    <row r="801">
      <c r="A801" s="134"/>
      <c r="B801" s="12"/>
      <c r="C801" s="135"/>
      <c r="D801" s="12"/>
      <c r="E801" s="136"/>
      <c r="H801" s="12"/>
    </row>
    <row r="802">
      <c r="A802" s="134"/>
      <c r="B802" s="12"/>
      <c r="C802" s="135"/>
      <c r="D802" s="12"/>
      <c r="E802" s="136"/>
      <c r="H802" s="12"/>
    </row>
    <row r="803">
      <c r="A803" s="134"/>
      <c r="B803" s="12"/>
      <c r="C803" s="135"/>
      <c r="D803" s="12"/>
      <c r="E803" s="136"/>
      <c r="H803" s="12"/>
    </row>
    <row r="804">
      <c r="A804" s="134"/>
      <c r="B804" s="12"/>
      <c r="C804" s="135"/>
      <c r="D804" s="12"/>
      <c r="E804" s="136"/>
      <c r="H804" s="12"/>
    </row>
    <row r="805">
      <c r="A805" s="134"/>
      <c r="B805" s="12"/>
      <c r="C805" s="135"/>
      <c r="D805" s="12"/>
      <c r="E805" s="136"/>
      <c r="H805" s="12"/>
    </row>
    <row r="806">
      <c r="A806" s="134"/>
      <c r="B806" s="12"/>
      <c r="C806" s="135"/>
      <c r="D806" s="12"/>
      <c r="E806" s="136"/>
      <c r="H806" s="12"/>
    </row>
    <row r="807">
      <c r="A807" s="134"/>
      <c r="B807" s="12"/>
      <c r="C807" s="135"/>
      <c r="D807" s="12"/>
      <c r="E807" s="136"/>
      <c r="H807" s="12"/>
    </row>
    <row r="808">
      <c r="A808" s="134"/>
      <c r="B808" s="12"/>
      <c r="C808" s="135"/>
      <c r="D808" s="12"/>
      <c r="E808" s="136"/>
      <c r="H808" s="12"/>
    </row>
    <row r="809">
      <c r="A809" s="134"/>
      <c r="B809" s="12"/>
      <c r="C809" s="135"/>
      <c r="D809" s="12"/>
      <c r="E809" s="136"/>
      <c r="H809" s="12"/>
    </row>
    <row r="810">
      <c r="A810" s="134"/>
      <c r="B810" s="12"/>
      <c r="C810" s="135"/>
      <c r="D810" s="12"/>
      <c r="E810" s="136"/>
      <c r="H810" s="12"/>
    </row>
    <row r="811">
      <c r="A811" s="134"/>
      <c r="B811" s="12"/>
      <c r="C811" s="135"/>
      <c r="D811" s="12"/>
      <c r="E811" s="136"/>
      <c r="H811" s="12"/>
    </row>
    <row r="812">
      <c r="A812" s="134"/>
      <c r="B812" s="12"/>
      <c r="C812" s="135"/>
      <c r="D812" s="12"/>
      <c r="E812" s="136"/>
      <c r="H812" s="12"/>
    </row>
    <row r="813">
      <c r="A813" s="134"/>
      <c r="B813" s="12"/>
      <c r="C813" s="135"/>
      <c r="D813" s="12"/>
      <c r="E813" s="136"/>
      <c r="H813" s="12"/>
    </row>
    <row r="814">
      <c r="A814" s="134"/>
      <c r="B814" s="12"/>
      <c r="C814" s="135"/>
      <c r="D814" s="12"/>
      <c r="E814" s="136"/>
      <c r="H814" s="12"/>
    </row>
    <row r="815">
      <c r="A815" s="134"/>
      <c r="B815" s="12"/>
      <c r="C815" s="135"/>
      <c r="D815" s="12"/>
      <c r="E815" s="136"/>
      <c r="H815" s="12"/>
    </row>
    <row r="816">
      <c r="A816" s="134"/>
      <c r="B816" s="12"/>
      <c r="C816" s="135"/>
      <c r="D816" s="12"/>
      <c r="E816" s="136"/>
      <c r="H816" s="12"/>
    </row>
    <row r="817">
      <c r="A817" s="134"/>
      <c r="B817" s="12"/>
      <c r="C817" s="135"/>
      <c r="D817" s="12"/>
      <c r="E817" s="136"/>
      <c r="H817" s="12"/>
    </row>
    <row r="818">
      <c r="A818" s="134"/>
      <c r="B818" s="12"/>
      <c r="C818" s="135"/>
      <c r="D818" s="12"/>
      <c r="E818" s="136"/>
      <c r="H818" s="12"/>
    </row>
    <row r="819">
      <c r="A819" s="134"/>
      <c r="B819" s="12"/>
      <c r="C819" s="135"/>
      <c r="D819" s="12"/>
      <c r="E819" s="136"/>
      <c r="H819" s="12"/>
    </row>
    <row r="820">
      <c r="A820" s="134"/>
      <c r="B820" s="12"/>
      <c r="C820" s="135"/>
      <c r="D820" s="12"/>
      <c r="E820" s="136"/>
      <c r="H820" s="12"/>
    </row>
    <row r="821">
      <c r="A821" s="134"/>
      <c r="B821" s="12"/>
      <c r="C821" s="135"/>
      <c r="D821" s="12"/>
      <c r="E821" s="136"/>
      <c r="H821" s="12"/>
    </row>
    <row r="822">
      <c r="A822" s="134"/>
      <c r="B822" s="12"/>
      <c r="C822" s="135"/>
      <c r="D822" s="12"/>
      <c r="E822" s="136"/>
      <c r="H822" s="12"/>
    </row>
    <row r="823">
      <c r="A823" s="134"/>
      <c r="B823" s="12"/>
      <c r="C823" s="135"/>
      <c r="D823" s="12"/>
      <c r="E823" s="136"/>
      <c r="H823" s="12"/>
    </row>
    <row r="824">
      <c r="A824" s="134"/>
      <c r="B824" s="12"/>
      <c r="C824" s="135"/>
      <c r="D824" s="12"/>
      <c r="E824" s="136"/>
      <c r="H824" s="12"/>
    </row>
    <row r="825">
      <c r="A825" s="134"/>
      <c r="B825" s="12"/>
      <c r="C825" s="135"/>
      <c r="D825" s="12"/>
      <c r="E825" s="136"/>
      <c r="H825" s="12"/>
    </row>
    <row r="826">
      <c r="A826" s="134"/>
      <c r="B826" s="12"/>
      <c r="C826" s="135"/>
      <c r="D826" s="12"/>
      <c r="E826" s="136"/>
      <c r="H826" s="12"/>
    </row>
    <row r="827">
      <c r="A827" s="134"/>
      <c r="B827" s="12"/>
      <c r="C827" s="135"/>
      <c r="D827" s="12"/>
      <c r="E827" s="136"/>
      <c r="H827" s="12"/>
    </row>
    <row r="828">
      <c r="A828" s="134"/>
      <c r="B828" s="12"/>
      <c r="C828" s="135"/>
      <c r="D828" s="12"/>
      <c r="E828" s="136"/>
      <c r="H828" s="12"/>
    </row>
    <row r="829">
      <c r="A829" s="134"/>
      <c r="B829" s="12"/>
      <c r="C829" s="135"/>
      <c r="D829" s="12"/>
      <c r="E829" s="136"/>
      <c r="H829" s="12"/>
    </row>
    <row r="830">
      <c r="A830" s="134"/>
      <c r="B830" s="12"/>
      <c r="C830" s="135"/>
      <c r="D830" s="12"/>
      <c r="E830" s="136"/>
      <c r="H830" s="12"/>
    </row>
    <row r="831">
      <c r="A831" s="134"/>
      <c r="B831" s="12"/>
      <c r="C831" s="135"/>
      <c r="D831" s="12"/>
      <c r="E831" s="136"/>
      <c r="H831" s="12"/>
    </row>
    <row r="832">
      <c r="A832" s="134"/>
      <c r="B832" s="12"/>
      <c r="C832" s="135"/>
      <c r="D832" s="12"/>
      <c r="E832" s="136"/>
      <c r="H832" s="12"/>
    </row>
    <row r="833">
      <c r="A833" s="134"/>
      <c r="B833" s="12"/>
      <c r="C833" s="135"/>
      <c r="D833" s="12"/>
      <c r="E833" s="136"/>
      <c r="H833" s="12"/>
    </row>
    <row r="834">
      <c r="A834" s="134"/>
      <c r="B834" s="12"/>
      <c r="C834" s="135"/>
      <c r="D834" s="12"/>
      <c r="E834" s="136"/>
      <c r="H834" s="12"/>
    </row>
    <row r="835">
      <c r="A835" s="134"/>
      <c r="B835" s="12"/>
      <c r="C835" s="135"/>
      <c r="D835" s="12"/>
      <c r="E835" s="136"/>
      <c r="H835" s="12"/>
    </row>
    <row r="836">
      <c r="A836" s="134"/>
      <c r="B836" s="12"/>
      <c r="C836" s="135"/>
      <c r="D836" s="12"/>
      <c r="E836" s="136"/>
      <c r="H836" s="12"/>
    </row>
    <row r="837">
      <c r="A837" s="134"/>
      <c r="B837" s="12"/>
      <c r="C837" s="135"/>
      <c r="D837" s="12"/>
      <c r="E837" s="136"/>
      <c r="H837" s="12"/>
    </row>
    <row r="838">
      <c r="A838" s="134"/>
      <c r="B838" s="12"/>
      <c r="C838" s="135"/>
      <c r="D838" s="12"/>
      <c r="E838" s="136"/>
      <c r="H838" s="12"/>
    </row>
    <row r="839">
      <c r="A839" s="134"/>
      <c r="B839" s="12"/>
      <c r="C839" s="135"/>
      <c r="D839" s="12"/>
      <c r="E839" s="136"/>
      <c r="H839" s="12"/>
    </row>
    <row r="840">
      <c r="A840" s="134"/>
      <c r="B840" s="12"/>
      <c r="C840" s="135"/>
      <c r="D840" s="12"/>
      <c r="E840" s="136"/>
      <c r="H840" s="12"/>
    </row>
    <row r="841">
      <c r="A841" s="134"/>
      <c r="B841" s="12"/>
      <c r="C841" s="135"/>
      <c r="D841" s="12"/>
      <c r="E841" s="136"/>
      <c r="H841" s="12"/>
    </row>
    <row r="842">
      <c r="A842" s="134"/>
      <c r="B842" s="12"/>
      <c r="C842" s="135"/>
      <c r="D842" s="12"/>
      <c r="E842" s="136"/>
      <c r="H842" s="12"/>
    </row>
    <row r="843">
      <c r="A843" s="134"/>
      <c r="B843" s="12"/>
      <c r="C843" s="135"/>
      <c r="D843" s="12"/>
      <c r="E843" s="136"/>
      <c r="H843" s="12"/>
    </row>
    <row r="844">
      <c r="A844" s="134"/>
      <c r="B844" s="12"/>
      <c r="C844" s="135"/>
      <c r="D844" s="12"/>
      <c r="E844" s="136"/>
      <c r="H844" s="12"/>
    </row>
    <row r="845">
      <c r="A845" s="134"/>
      <c r="B845" s="12"/>
      <c r="C845" s="135"/>
      <c r="D845" s="12"/>
      <c r="E845" s="136"/>
      <c r="H845" s="12"/>
    </row>
    <row r="846">
      <c r="A846" s="134"/>
      <c r="B846" s="12"/>
      <c r="C846" s="135"/>
      <c r="D846" s="12"/>
      <c r="E846" s="136"/>
      <c r="H846" s="12"/>
    </row>
    <row r="847">
      <c r="A847" s="134"/>
      <c r="B847" s="12"/>
      <c r="C847" s="135"/>
      <c r="D847" s="12"/>
      <c r="E847" s="136"/>
      <c r="H847" s="12"/>
    </row>
    <row r="848">
      <c r="A848" s="134"/>
      <c r="B848" s="12"/>
      <c r="C848" s="135"/>
      <c r="D848" s="12"/>
      <c r="E848" s="136"/>
      <c r="H848" s="12"/>
    </row>
    <row r="849">
      <c r="A849" s="134"/>
      <c r="B849" s="12"/>
      <c r="C849" s="135"/>
      <c r="D849" s="12"/>
      <c r="E849" s="136"/>
      <c r="H849" s="12"/>
    </row>
    <row r="850">
      <c r="A850" s="134"/>
      <c r="B850" s="12"/>
      <c r="C850" s="135"/>
      <c r="D850" s="12"/>
      <c r="E850" s="136"/>
      <c r="H850" s="12"/>
    </row>
    <row r="851">
      <c r="A851" s="134"/>
      <c r="B851" s="12"/>
      <c r="C851" s="135"/>
      <c r="D851" s="12"/>
      <c r="E851" s="136"/>
      <c r="H851" s="12"/>
    </row>
    <row r="852">
      <c r="A852" s="134"/>
      <c r="B852" s="12"/>
      <c r="C852" s="135"/>
      <c r="D852" s="12"/>
      <c r="E852" s="136"/>
      <c r="H852" s="12"/>
    </row>
    <row r="853">
      <c r="A853" s="134"/>
      <c r="B853" s="12"/>
      <c r="C853" s="135"/>
      <c r="D853" s="12"/>
      <c r="E853" s="136"/>
      <c r="H853" s="12"/>
    </row>
    <row r="854">
      <c r="A854" s="134"/>
      <c r="B854" s="12"/>
      <c r="C854" s="135"/>
      <c r="D854" s="12"/>
      <c r="E854" s="136"/>
      <c r="H854" s="12"/>
    </row>
    <row r="855">
      <c r="A855" s="134"/>
      <c r="B855" s="12"/>
      <c r="C855" s="135"/>
      <c r="D855" s="12"/>
      <c r="E855" s="136"/>
      <c r="H855" s="12"/>
    </row>
    <row r="856">
      <c r="A856" s="134"/>
      <c r="B856" s="12"/>
      <c r="C856" s="135"/>
      <c r="D856" s="12"/>
      <c r="E856" s="136"/>
      <c r="H856" s="12"/>
    </row>
    <row r="857">
      <c r="A857" s="134"/>
      <c r="B857" s="12"/>
      <c r="C857" s="135"/>
      <c r="D857" s="12"/>
      <c r="E857" s="136"/>
      <c r="H857" s="12"/>
    </row>
    <row r="858">
      <c r="A858" s="134"/>
      <c r="B858" s="12"/>
      <c r="C858" s="135"/>
      <c r="D858" s="12"/>
      <c r="E858" s="136"/>
      <c r="H858" s="12"/>
    </row>
    <row r="859">
      <c r="A859" s="134"/>
      <c r="B859" s="12"/>
      <c r="C859" s="135"/>
      <c r="D859" s="12"/>
      <c r="E859" s="136"/>
      <c r="H859" s="12"/>
    </row>
    <row r="860">
      <c r="A860" s="134"/>
      <c r="B860" s="12"/>
      <c r="C860" s="135"/>
      <c r="D860" s="12"/>
      <c r="E860" s="136"/>
      <c r="H860" s="12"/>
    </row>
    <row r="861">
      <c r="A861" s="134"/>
      <c r="B861" s="12"/>
      <c r="C861" s="135"/>
      <c r="D861" s="12"/>
      <c r="E861" s="136"/>
      <c r="H861" s="12"/>
    </row>
    <row r="862">
      <c r="A862" s="134"/>
      <c r="B862" s="12"/>
      <c r="C862" s="135"/>
      <c r="D862" s="12"/>
      <c r="E862" s="136"/>
      <c r="H862" s="12"/>
    </row>
    <row r="863">
      <c r="A863" s="134"/>
      <c r="B863" s="12"/>
      <c r="C863" s="135"/>
      <c r="D863" s="12"/>
      <c r="E863" s="136"/>
      <c r="H863" s="12"/>
    </row>
    <row r="864">
      <c r="A864" s="134"/>
      <c r="B864" s="12"/>
      <c r="C864" s="135"/>
      <c r="D864" s="12"/>
      <c r="E864" s="136"/>
      <c r="H864" s="12"/>
    </row>
    <row r="865">
      <c r="A865" s="134"/>
      <c r="B865" s="12"/>
      <c r="C865" s="135"/>
      <c r="D865" s="12"/>
      <c r="E865" s="136"/>
      <c r="H865" s="12"/>
    </row>
    <row r="866">
      <c r="A866" s="134"/>
      <c r="B866" s="12"/>
      <c r="C866" s="135"/>
      <c r="D866" s="12"/>
      <c r="E866" s="136"/>
      <c r="H866" s="12"/>
    </row>
    <row r="867">
      <c r="A867" s="134"/>
      <c r="B867" s="12"/>
      <c r="C867" s="135"/>
      <c r="D867" s="12"/>
      <c r="E867" s="136"/>
      <c r="H867" s="12"/>
    </row>
    <row r="868">
      <c r="A868" s="134"/>
      <c r="B868" s="12"/>
      <c r="C868" s="135"/>
      <c r="D868" s="12"/>
      <c r="E868" s="136"/>
      <c r="H868" s="12"/>
    </row>
    <row r="869">
      <c r="A869" s="134"/>
      <c r="B869" s="12"/>
      <c r="C869" s="135"/>
      <c r="D869" s="12"/>
      <c r="E869" s="136"/>
      <c r="H869" s="12"/>
    </row>
    <row r="870">
      <c r="A870" s="134"/>
      <c r="B870" s="12"/>
      <c r="C870" s="135"/>
      <c r="D870" s="12"/>
      <c r="E870" s="136"/>
      <c r="H870" s="12"/>
    </row>
    <row r="871">
      <c r="A871" s="134"/>
      <c r="B871" s="12"/>
      <c r="C871" s="135"/>
      <c r="D871" s="12"/>
      <c r="E871" s="136"/>
      <c r="H871" s="12"/>
    </row>
    <row r="872">
      <c r="A872" s="134"/>
      <c r="B872" s="12"/>
      <c r="C872" s="135"/>
      <c r="D872" s="12"/>
      <c r="E872" s="136"/>
      <c r="H872" s="12"/>
    </row>
    <row r="873">
      <c r="A873" s="134"/>
      <c r="B873" s="12"/>
      <c r="C873" s="135"/>
      <c r="D873" s="12"/>
      <c r="E873" s="136"/>
      <c r="H873" s="12"/>
    </row>
    <row r="874">
      <c r="A874" s="134"/>
      <c r="B874" s="12"/>
      <c r="C874" s="135"/>
      <c r="D874" s="12"/>
      <c r="E874" s="136"/>
      <c r="H874" s="12"/>
    </row>
    <row r="875">
      <c r="A875" s="134"/>
      <c r="B875" s="12"/>
      <c r="C875" s="135"/>
      <c r="D875" s="12"/>
      <c r="E875" s="136"/>
      <c r="H875" s="12"/>
    </row>
    <row r="876">
      <c r="A876" s="134"/>
      <c r="B876" s="12"/>
      <c r="C876" s="135"/>
      <c r="D876" s="12"/>
      <c r="E876" s="136"/>
      <c r="H876" s="12"/>
    </row>
    <row r="877">
      <c r="A877" s="134"/>
      <c r="B877" s="12"/>
      <c r="C877" s="135"/>
      <c r="D877" s="12"/>
      <c r="E877" s="136"/>
      <c r="H877" s="12"/>
    </row>
    <row r="878">
      <c r="A878" s="134"/>
      <c r="B878" s="12"/>
      <c r="C878" s="135"/>
      <c r="D878" s="12"/>
      <c r="E878" s="136"/>
      <c r="H878" s="12"/>
    </row>
    <row r="879">
      <c r="A879" s="134"/>
      <c r="B879" s="12"/>
      <c r="C879" s="135"/>
      <c r="D879" s="12"/>
      <c r="E879" s="136"/>
      <c r="H879" s="12"/>
    </row>
    <row r="880">
      <c r="A880" s="134"/>
      <c r="B880" s="12"/>
      <c r="C880" s="135"/>
      <c r="D880" s="12"/>
      <c r="E880" s="136"/>
      <c r="H880" s="12"/>
    </row>
    <row r="881">
      <c r="A881" s="134"/>
      <c r="B881" s="12"/>
      <c r="C881" s="135"/>
      <c r="D881" s="12"/>
      <c r="E881" s="136"/>
      <c r="H881" s="12"/>
    </row>
    <row r="882">
      <c r="A882" s="134"/>
      <c r="B882" s="12"/>
      <c r="C882" s="135"/>
      <c r="D882" s="12"/>
      <c r="E882" s="136"/>
      <c r="H882" s="12"/>
    </row>
    <row r="883">
      <c r="A883" s="134"/>
      <c r="B883" s="12"/>
      <c r="C883" s="135"/>
      <c r="D883" s="12"/>
      <c r="E883" s="136"/>
      <c r="H883" s="12"/>
    </row>
    <row r="884">
      <c r="A884" s="134"/>
      <c r="B884" s="12"/>
      <c r="C884" s="135"/>
      <c r="D884" s="12"/>
      <c r="E884" s="136"/>
      <c r="H884" s="12"/>
    </row>
    <row r="885">
      <c r="A885" s="134"/>
      <c r="B885" s="12"/>
      <c r="C885" s="135"/>
      <c r="D885" s="12"/>
      <c r="E885" s="136"/>
      <c r="H885" s="12"/>
    </row>
    <row r="886">
      <c r="A886" s="134"/>
      <c r="B886" s="12"/>
      <c r="C886" s="135"/>
      <c r="D886" s="12"/>
      <c r="E886" s="136"/>
      <c r="H886" s="12"/>
    </row>
    <row r="887">
      <c r="A887" s="134"/>
      <c r="B887" s="12"/>
      <c r="C887" s="135"/>
      <c r="D887" s="12"/>
      <c r="E887" s="136"/>
      <c r="H887" s="12"/>
    </row>
    <row r="888">
      <c r="A888" s="134"/>
      <c r="B888" s="12"/>
      <c r="C888" s="135"/>
      <c r="D888" s="12"/>
      <c r="E888" s="136"/>
      <c r="H888" s="12"/>
    </row>
    <row r="889">
      <c r="A889" s="134"/>
      <c r="B889" s="12"/>
      <c r="C889" s="135"/>
      <c r="D889" s="12"/>
      <c r="E889" s="136"/>
      <c r="H889" s="12"/>
    </row>
    <row r="890">
      <c r="A890" s="134"/>
      <c r="B890" s="12"/>
      <c r="C890" s="135"/>
      <c r="D890" s="12"/>
      <c r="E890" s="136"/>
      <c r="H890" s="12"/>
    </row>
    <row r="891">
      <c r="A891" s="134"/>
      <c r="B891" s="12"/>
      <c r="C891" s="135"/>
      <c r="D891" s="12"/>
      <c r="E891" s="136"/>
      <c r="H891" s="12"/>
    </row>
    <row r="892">
      <c r="A892" s="134"/>
      <c r="B892" s="12"/>
      <c r="C892" s="135"/>
      <c r="D892" s="12"/>
      <c r="E892" s="136"/>
      <c r="H892" s="12"/>
    </row>
    <row r="893">
      <c r="A893" s="134"/>
      <c r="B893" s="12"/>
      <c r="C893" s="135"/>
      <c r="D893" s="12"/>
      <c r="E893" s="136"/>
      <c r="H893" s="12"/>
    </row>
    <row r="894">
      <c r="A894" s="134"/>
      <c r="B894" s="12"/>
      <c r="C894" s="135"/>
      <c r="D894" s="12"/>
      <c r="E894" s="136"/>
      <c r="H894" s="12"/>
    </row>
    <row r="895">
      <c r="A895" s="134"/>
      <c r="B895" s="12"/>
      <c r="C895" s="135"/>
      <c r="D895" s="12"/>
      <c r="E895" s="136"/>
      <c r="H895" s="12"/>
    </row>
    <row r="896">
      <c r="A896" s="134"/>
      <c r="B896" s="12"/>
      <c r="C896" s="135"/>
      <c r="D896" s="12"/>
      <c r="E896" s="136"/>
      <c r="H896" s="12"/>
    </row>
    <row r="897">
      <c r="A897" s="134"/>
      <c r="B897" s="12"/>
      <c r="C897" s="135"/>
      <c r="D897" s="12"/>
      <c r="E897" s="136"/>
      <c r="H897" s="12"/>
    </row>
    <row r="898">
      <c r="A898" s="134"/>
      <c r="B898" s="12"/>
      <c r="C898" s="135"/>
      <c r="D898" s="12"/>
      <c r="E898" s="136"/>
      <c r="H898" s="12"/>
    </row>
    <row r="899">
      <c r="A899" s="134"/>
      <c r="B899" s="12"/>
      <c r="C899" s="135"/>
      <c r="D899" s="12"/>
      <c r="E899" s="136"/>
      <c r="H899" s="12"/>
    </row>
    <row r="900">
      <c r="A900" s="134"/>
      <c r="B900" s="12"/>
      <c r="C900" s="135"/>
      <c r="D900" s="12"/>
      <c r="E900" s="136"/>
      <c r="H900" s="12"/>
    </row>
    <row r="901">
      <c r="A901" s="134"/>
      <c r="B901" s="12"/>
      <c r="C901" s="135"/>
      <c r="D901" s="12"/>
      <c r="E901" s="136"/>
      <c r="H901" s="12"/>
    </row>
    <row r="902">
      <c r="A902" s="134"/>
      <c r="B902" s="12"/>
      <c r="C902" s="135"/>
      <c r="D902" s="12"/>
      <c r="E902" s="136"/>
      <c r="H902" s="12"/>
    </row>
    <row r="903">
      <c r="A903" s="134"/>
      <c r="B903" s="12"/>
      <c r="C903" s="135"/>
      <c r="D903" s="12"/>
      <c r="E903" s="136"/>
      <c r="H903" s="12"/>
    </row>
    <row r="904">
      <c r="A904" s="134"/>
      <c r="B904" s="12"/>
      <c r="C904" s="135"/>
      <c r="D904" s="12"/>
      <c r="E904" s="136"/>
      <c r="H904" s="12"/>
    </row>
    <row r="905">
      <c r="A905" s="134"/>
      <c r="B905" s="12"/>
      <c r="C905" s="135"/>
      <c r="D905" s="12"/>
      <c r="E905" s="136"/>
      <c r="H905" s="12"/>
    </row>
    <row r="906">
      <c r="A906" s="134"/>
      <c r="B906" s="12"/>
      <c r="C906" s="135"/>
      <c r="D906" s="12"/>
      <c r="E906" s="136"/>
      <c r="H906" s="12"/>
    </row>
    <row r="907">
      <c r="A907" s="134"/>
      <c r="B907" s="12"/>
      <c r="C907" s="135"/>
      <c r="D907" s="12"/>
      <c r="E907" s="136"/>
      <c r="H907" s="12"/>
    </row>
    <row r="908">
      <c r="A908" s="134"/>
      <c r="B908" s="12"/>
      <c r="C908" s="135"/>
      <c r="D908" s="12"/>
      <c r="E908" s="136"/>
      <c r="H908" s="12"/>
    </row>
    <row r="909">
      <c r="A909" s="134"/>
      <c r="B909" s="12"/>
      <c r="C909" s="135"/>
      <c r="D909" s="12"/>
      <c r="E909" s="136"/>
      <c r="H909" s="12"/>
    </row>
    <row r="910">
      <c r="A910" s="134"/>
      <c r="B910" s="12"/>
      <c r="C910" s="135"/>
      <c r="D910" s="12"/>
      <c r="E910" s="136"/>
      <c r="H910" s="12"/>
    </row>
    <row r="911">
      <c r="A911" s="134"/>
      <c r="B911" s="12"/>
      <c r="C911" s="135"/>
      <c r="D911" s="12"/>
      <c r="E911" s="136"/>
      <c r="H911" s="12"/>
    </row>
    <row r="912">
      <c r="A912" s="134"/>
      <c r="B912" s="12"/>
      <c r="C912" s="135"/>
      <c r="D912" s="12"/>
      <c r="E912" s="136"/>
      <c r="H912" s="12"/>
    </row>
    <row r="913">
      <c r="A913" s="134"/>
      <c r="B913" s="12"/>
      <c r="C913" s="135"/>
      <c r="D913" s="12"/>
      <c r="E913" s="136"/>
      <c r="H913" s="12"/>
    </row>
    <row r="914">
      <c r="A914" s="134"/>
      <c r="B914" s="12"/>
      <c r="C914" s="135"/>
      <c r="D914" s="12"/>
      <c r="E914" s="136"/>
      <c r="H914" s="12"/>
    </row>
    <row r="915">
      <c r="A915" s="134"/>
      <c r="B915" s="12"/>
      <c r="C915" s="135"/>
      <c r="D915" s="12"/>
      <c r="E915" s="136"/>
      <c r="H915" s="12"/>
    </row>
    <row r="916">
      <c r="A916" s="134"/>
      <c r="B916" s="12"/>
      <c r="C916" s="135"/>
      <c r="D916" s="12"/>
      <c r="E916" s="136"/>
      <c r="H916" s="12"/>
    </row>
    <row r="917">
      <c r="A917" s="134"/>
      <c r="B917" s="12"/>
      <c r="C917" s="135"/>
      <c r="D917" s="12"/>
      <c r="E917" s="136"/>
      <c r="H917" s="12"/>
    </row>
    <row r="918">
      <c r="A918" s="134"/>
      <c r="B918" s="12"/>
      <c r="C918" s="135"/>
      <c r="D918" s="12"/>
      <c r="E918" s="136"/>
      <c r="H918" s="12"/>
    </row>
    <row r="919">
      <c r="A919" s="134"/>
      <c r="B919" s="12"/>
      <c r="C919" s="135"/>
      <c r="D919" s="12"/>
      <c r="E919" s="136"/>
      <c r="H919" s="12"/>
    </row>
    <row r="920">
      <c r="A920" s="134"/>
      <c r="B920" s="12"/>
      <c r="C920" s="135"/>
      <c r="D920" s="12"/>
      <c r="E920" s="136"/>
      <c r="H920" s="12"/>
    </row>
    <row r="921">
      <c r="A921" s="134"/>
      <c r="B921" s="12"/>
      <c r="C921" s="135"/>
      <c r="D921" s="12"/>
      <c r="E921" s="136"/>
      <c r="H921" s="12"/>
    </row>
    <row r="922">
      <c r="A922" s="134"/>
      <c r="B922" s="12"/>
      <c r="C922" s="135"/>
      <c r="D922" s="12"/>
      <c r="E922" s="136"/>
      <c r="H922" s="12"/>
    </row>
    <row r="923">
      <c r="A923" s="134"/>
      <c r="B923" s="12"/>
      <c r="C923" s="135"/>
      <c r="D923" s="12"/>
      <c r="E923" s="136"/>
      <c r="H923" s="12"/>
    </row>
    <row r="924">
      <c r="A924" s="134"/>
      <c r="B924" s="12"/>
      <c r="C924" s="135"/>
      <c r="D924" s="12"/>
      <c r="E924" s="136"/>
      <c r="H924" s="12"/>
    </row>
    <row r="925">
      <c r="A925" s="134"/>
      <c r="B925" s="12"/>
      <c r="C925" s="135"/>
      <c r="D925" s="12"/>
      <c r="E925" s="136"/>
      <c r="H925" s="12"/>
    </row>
    <row r="926">
      <c r="A926" s="134"/>
      <c r="B926" s="12"/>
      <c r="C926" s="135"/>
      <c r="D926" s="12"/>
      <c r="E926" s="136"/>
      <c r="H926" s="12"/>
    </row>
    <row r="927">
      <c r="A927" s="134"/>
      <c r="B927" s="12"/>
      <c r="C927" s="135"/>
      <c r="D927" s="12"/>
      <c r="E927" s="136"/>
      <c r="H927" s="12"/>
    </row>
    <row r="928">
      <c r="A928" s="134"/>
      <c r="B928" s="12"/>
      <c r="C928" s="135"/>
      <c r="D928" s="12"/>
      <c r="E928" s="136"/>
      <c r="H928" s="12"/>
    </row>
    <row r="929">
      <c r="A929" s="134"/>
      <c r="B929" s="12"/>
      <c r="C929" s="135"/>
      <c r="D929" s="12"/>
      <c r="E929" s="136"/>
      <c r="H929" s="12"/>
    </row>
    <row r="930">
      <c r="A930" s="134"/>
      <c r="B930" s="12"/>
      <c r="C930" s="135"/>
      <c r="D930" s="12"/>
      <c r="E930" s="136"/>
      <c r="H930" s="12"/>
    </row>
    <row r="931">
      <c r="A931" s="134"/>
      <c r="B931" s="12"/>
      <c r="C931" s="135"/>
      <c r="D931" s="12"/>
      <c r="E931" s="136"/>
      <c r="H931" s="12"/>
    </row>
    <row r="932">
      <c r="A932" s="134"/>
      <c r="B932" s="12"/>
      <c r="C932" s="135"/>
      <c r="D932" s="12"/>
      <c r="E932" s="136"/>
      <c r="H932" s="12"/>
    </row>
    <row r="933">
      <c r="A933" s="134"/>
      <c r="B933" s="12"/>
      <c r="C933" s="135"/>
      <c r="D933" s="12"/>
      <c r="E933" s="136"/>
      <c r="H933" s="12"/>
    </row>
    <row r="934">
      <c r="A934" s="134"/>
      <c r="B934" s="12"/>
      <c r="C934" s="135"/>
      <c r="D934" s="12"/>
      <c r="E934" s="136"/>
      <c r="H934" s="12"/>
    </row>
    <row r="935">
      <c r="A935" s="134"/>
      <c r="B935" s="12"/>
      <c r="C935" s="135"/>
      <c r="D935" s="12"/>
      <c r="E935" s="136"/>
      <c r="H935" s="12"/>
    </row>
    <row r="936">
      <c r="A936" s="134"/>
      <c r="B936" s="12"/>
      <c r="C936" s="135"/>
      <c r="D936" s="12"/>
      <c r="E936" s="136"/>
      <c r="H936" s="12"/>
    </row>
    <row r="937">
      <c r="A937" s="134"/>
      <c r="B937" s="12"/>
      <c r="C937" s="135"/>
      <c r="D937" s="12"/>
      <c r="E937" s="136"/>
      <c r="H937" s="12"/>
    </row>
    <row r="938">
      <c r="A938" s="134"/>
      <c r="B938" s="12"/>
      <c r="C938" s="135"/>
      <c r="D938" s="12"/>
      <c r="E938" s="136"/>
      <c r="H938" s="12"/>
    </row>
    <row r="939">
      <c r="A939" s="134"/>
      <c r="B939" s="12"/>
      <c r="C939" s="135"/>
      <c r="D939" s="12"/>
      <c r="E939" s="136"/>
      <c r="H939" s="12"/>
    </row>
    <row r="940">
      <c r="A940" s="134"/>
      <c r="B940" s="12"/>
      <c r="C940" s="135"/>
      <c r="D940" s="12"/>
      <c r="E940" s="136"/>
      <c r="H940" s="12"/>
    </row>
    <row r="941">
      <c r="A941" s="134"/>
      <c r="B941" s="12"/>
      <c r="C941" s="135"/>
      <c r="D941" s="12"/>
      <c r="E941" s="136"/>
      <c r="H941" s="12"/>
    </row>
    <row r="942">
      <c r="A942" s="134"/>
      <c r="B942" s="12"/>
      <c r="C942" s="135"/>
      <c r="D942" s="12"/>
      <c r="E942" s="136"/>
      <c r="H942" s="12"/>
    </row>
    <row r="943">
      <c r="A943" s="134"/>
      <c r="B943" s="12"/>
      <c r="C943" s="135"/>
      <c r="D943" s="12"/>
      <c r="E943" s="136"/>
      <c r="H943" s="12"/>
    </row>
    <row r="944">
      <c r="A944" s="134"/>
      <c r="B944" s="12"/>
      <c r="C944" s="135"/>
      <c r="D944" s="12"/>
      <c r="E944" s="136"/>
      <c r="H944" s="12"/>
    </row>
    <row r="945">
      <c r="A945" s="134"/>
      <c r="B945" s="12"/>
      <c r="C945" s="135"/>
      <c r="D945" s="12"/>
      <c r="E945" s="136"/>
      <c r="H945" s="12"/>
    </row>
    <row r="946">
      <c r="A946" s="134"/>
      <c r="B946" s="12"/>
      <c r="C946" s="135"/>
      <c r="D946" s="12"/>
      <c r="E946" s="136"/>
      <c r="H946" s="12"/>
    </row>
    <row r="947">
      <c r="A947" s="134"/>
      <c r="B947" s="12"/>
      <c r="C947" s="135"/>
      <c r="D947" s="12"/>
      <c r="E947" s="136"/>
      <c r="H947" s="12"/>
    </row>
    <row r="948">
      <c r="A948" s="134"/>
      <c r="B948" s="12"/>
      <c r="C948" s="135"/>
      <c r="D948" s="12"/>
      <c r="E948" s="136"/>
      <c r="H948" s="12"/>
    </row>
    <row r="949">
      <c r="A949" s="134"/>
      <c r="B949" s="12"/>
      <c r="C949" s="135"/>
      <c r="D949" s="12"/>
      <c r="E949" s="136"/>
      <c r="H949" s="12"/>
    </row>
    <row r="950">
      <c r="A950" s="134"/>
      <c r="B950" s="12"/>
      <c r="C950" s="135"/>
      <c r="D950" s="12"/>
      <c r="E950" s="136"/>
      <c r="H950" s="12"/>
    </row>
    <row r="951">
      <c r="A951" s="134"/>
      <c r="B951" s="12"/>
      <c r="C951" s="135"/>
      <c r="D951" s="12"/>
      <c r="E951" s="136"/>
      <c r="H951" s="12"/>
    </row>
    <row r="952">
      <c r="A952" s="134"/>
      <c r="B952" s="12"/>
      <c r="C952" s="135"/>
      <c r="D952" s="12"/>
      <c r="E952" s="136"/>
      <c r="H952" s="12"/>
    </row>
    <row r="953">
      <c r="A953" s="134"/>
      <c r="B953" s="12"/>
      <c r="C953" s="135"/>
      <c r="D953" s="12"/>
      <c r="E953" s="136"/>
      <c r="H953" s="12"/>
    </row>
    <row r="954">
      <c r="A954" s="134"/>
      <c r="B954" s="12"/>
      <c r="C954" s="135"/>
      <c r="D954" s="12"/>
      <c r="E954" s="136"/>
      <c r="H954" s="12"/>
    </row>
    <row r="955">
      <c r="A955" s="134"/>
      <c r="B955" s="12"/>
      <c r="C955" s="135"/>
      <c r="D955" s="12"/>
      <c r="E955" s="136"/>
      <c r="H955" s="12"/>
    </row>
    <row r="956">
      <c r="A956" s="134"/>
      <c r="B956" s="12"/>
      <c r="C956" s="135"/>
      <c r="D956" s="12"/>
      <c r="E956" s="136"/>
      <c r="H956" s="12"/>
    </row>
    <row r="957">
      <c r="A957" s="134"/>
      <c r="B957" s="12"/>
      <c r="C957" s="135"/>
      <c r="D957" s="12"/>
      <c r="E957" s="136"/>
      <c r="H957" s="12"/>
    </row>
    <row r="958">
      <c r="A958" s="134"/>
      <c r="B958" s="12"/>
      <c r="C958" s="135"/>
      <c r="D958" s="12"/>
      <c r="E958" s="136"/>
      <c r="H958" s="12"/>
    </row>
    <row r="959">
      <c r="A959" s="134"/>
      <c r="B959" s="12"/>
      <c r="C959" s="135"/>
      <c r="D959" s="12"/>
      <c r="E959" s="136"/>
      <c r="H959" s="12"/>
    </row>
    <row r="960">
      <c r="A960" s="134"/>
      <c r="B960" s="12"/>
      <c r="C960" s="135"/>
      <c r="D960" s="12"/>
      <c r="E960" s="136"/>
      <c r="H960" s="12"/>
    </row>
    <row r="961">
      <c r="A961" s="134"/>
      <c r="B961" s="12"/>
      <c r="C961" s="135"/>
      <c r="D961" s="12"/>
      <c r="E961" s="136"/>
      <c r="H961" s="12"/>
    </row>
    <row r="962">
      <c r="A962" s="134"/>
      <c r="B962" s="12"/>
      <c r="C962" s="135"/>
      <c r="D962" s="12"/>
      <c r="E962" s="136"/>
      <c r="H962" s="12"/>
    </row>
    <row r="963">
      <c r="A963" s="134"/>
      <c r="B963" s="12"/>
      <c r="C963" s="135"/>
      <c r="D963" s="12"/>
      <c r="E963" s="136"/>
      <c r="H963" s="12"/>
    </row>
    <row r="964">
      <c r="A964" s="134"/>
      <c r="B964" s="12"/>
      <c r="C964" s="135"/>
      <c r="D964" s="12"/>
      <c r="E964" s="136"/>
      <c r="H964" s="12"/>
    </row>
    <row r="965">
      <c r="A965" s="134"/>
      <c r="B965" s="12"/>
      <c r="C965" s="135"/>
      <c r="D965" s="12"/>
      <c r="E965" s="136"/>
      <c r="H965" s="12"/>
    </row>
    <row r="966">
      <c r="A966" s="134"/>
      <c r="B966" s="12"/>
      <c r="C966" s="135"/>
      <c r="D966" s="12"/>
      <c r="E966" s="136"/>
      <c r="H966" s="12"/>
    </row>
    <row r="967">
      <c r="A967" s="134"/>
      <c r="B967" s="12"/>
      <c r="C967" s="135"/>
      <c r="D967" s="12"/>
      <c r="E967" s="136"/>
      <c r="H967" s="12"/>
    </row>
    <row r="968">
      <c r="A968" s="134"/>
      <c r="B968" s="12"/>
      <c r="C968" s="135"/>
      <c r="D968" s="12"/>
      <c r="E968" s="136"/>
      <c r="H968" s="12"/>
    </row>
    <row r="969">
      <c r="A969" s="134"/>
      <c r="B969" s="12"/>
      <c r="C969" s="135"/>
      <c r="D969" s="12"/>
      <c r="E969" s="136"/>
      <c r="H969" s="12"/>
    </row>
    <row r="970">
      <c r="A970" s="134"/>
      <c r="B970" s="12"/>
      <c r="C970" s="135"/>
      <c r="D970" s="12"/>
      <c r="E970" s="136"/>
      <c r="H970" s="12"/>
    </row>
    <row r="971">
      <c r="A971" s="134"/>
      <c r="B971" s="12"/>
      <c r="C971" s="135"/>
      <c r="D971" s="12"/>
      <c r="E971" s="136"/>
      <c r="H971" s="12"/>
    </row>
    <row r="972">
      <c r="A972" s="134"/>
      <c r="B972" s="12"/>
      <c r="C972" s="135"/>
      <c r="D972" s="12"/>
      <c r="E972" s="136"/>
      <c r="H972" s="12"/>
    </row>
    <row r="973">
      <c r="A973" s="134"/>
      <c r="B973" s="12"/>
      <c r="C973" s="135"/>
      <c r="D973" s="12"/>
      <c r="E973" s="136"/>
      <c r="H973" s="12"/>
    </row>
    <row r="974">
      <c r="A974" s="134"/>
      <c r="B974" s="12"/>
      <c r="C974" s="135"/>
      <c r="D974" s="12"/>
      <c r="E974" s="136"/>
      <c r="H974" s="12"/>
    </row>
    <row r="975">
      <c r="A975" s="134"/>
      <c r="B975" s="12"/>
      <c r="C975" s="135"/>
      <c r="D975" s="12"/>
      <c r="E975" s="136"/>
      <c r="H975" s="12"/>
    </row>
    <row r="976">
      <c r="A976" s="134"/>
      <c r="B976" s="12"/>
      <c r="C976" s="135"/>
      <c r="D976" s="12"/>
      <c r="E976" s="136"/>
      <c r="H976" s="12"/>
    </row>
    <row r="977">
      <c r="A977" s="134"/>
      <c r="B977" s="12"/>
      <c r="C977" s="135"/>
      <c r="D977" s="12"/>
      <c r="E977" s="136"/>
      <c r="H977" s="12"/>
    </row>
    <row r="978">
      <c r="A978" s="134"/>
      <c r="B978" s="12"/>
      <c r="C978" s="135"/>
      <c r="D978" s="12"/>
      <c r="E978" s="136"/>
      <c r="H978" s="12"/>
    </row>
    <row r="979">
      <c r="A979" s="134"/>
      <c r="B979" s="12"/>
      <c r="C979" s="135"/>
      <c r="D979" s="12"/>
      <c r="E979" s="136"/>
      <c r="H979" s="12"/>
    </row>
    <row r="980">
      <c r="A980" s="134"/>
      <c r="B980" s="12"/>
      <c r="C980" s="135"/>
      <c r="D980" s="12"/>
      <c r="E980" s="136"/>
      <c r="H980" s="12"/>
    </row>
    <row r="981">
      <c r="A981" s="134"/>
      <c r="B981" s="12"/>
      <c r="C981" s="135"/>
      <c r="D981" s="12"/>
      <c r="E981" s="136"/>
      <c r="H981" s="12"/>
    </row>
    <row r="982">
      <c r="A982" s="134"/>
      <c r="B982" s="12"/>
      <c r="C982" s="135"/>
      <c r="D982" s="12"/>
      <c r="E982" s="136"/>
      <c r="H982" s="12"/>
    </row>
    <row r="983">
      <c r="A983" s="134"/>
      <c r="B983" s="12"/>
      <c r="C983" s="135"/>
      <c r="D983" s="12"/>
      <c r="E983" s="136"/>
      <c r="H983" s="12"/>
    </row>
    <row r="984">
      <c r="A984" s="134"/>
      <c r="B984" s="12"/>
      <c r="C984" s="135"/>
      <c r="D984" s="12"/>
      <c r="E984" s="136"/>
      <c r="H984" s="12"/>
    </row>
    <row r="985">
      <c r="A985" s="134"/>
      <c r="B985" s="12"/>
      <c r="C985" s="135"/>
      <c r="D985" s="12"/>
      <c r="E985" s="136"/>
      <c r="H985" s="12"/>
    </row>
    <row r="986">
      <c r="A986" s="134"/>
      <c r="B986" s="12"/>
      <c r="C986" s="135"/>
      <c r="D986" s="12"/>
      <c r="E986" s="136"/>
      <c r="H986" s="12"/>
    </row>
    <row r="987">
      <c r="A987" s="134"/>
      <c r="B987" s="12"/>
      <c r="C987" s="135"/>
      <c r="D987" s="12"/>
      <c r="E987" s="136"/>
      <c r="H987" s="12"/>
    </row>
    <row r="988">
      <c r="A988" s="134"/>
      <c r="B988" s="12"/>
      <c r="C988" s="135"/>
      <c r="D988" s="12"/>
      <c r="E988" s="136"/>
      <c r="H988" s="12"/>
    </row>
    <row r="989">
      <c r="A989" s="134"/>
      <c r="B989" s="12"/>
      <c r="C989" s="135"/>
      <c r="D989" s="12"/>
      <c r="E989" s="136"/>
      <c r="H989" s="12"/>
    </row>
    <row r="990">
      <c r="A990" s="134"/>
      <c r="B990" s="12"/>
      <c r="C990" s="135"/>
      <c r="D990" s="12"/>
      <c r="E990" s="136"/>
      <c r="H990" s="12"/>
    </row>
    <row r="991">
      <c r="A991" s="134"/>
      <c r="B991" s="12"/>
      <c r="C991" s="135"/>
      <c r="D991" s="12"/>
      <c r="E991" s="136"/>
      <c r="H991" s="12"/>
    </row>
    <row r="992">
      <c r="A992" s="134"/>
      <c r="B992" s="12"/>
      <c r="C992" s="135"/>
      <c r="D992" s="12"/>
      <c r="E992" s="136"/>
      <c r="H992" s="12"/>
    </row>
    <row r="993">
      <c r="A993" s="134"/>
      <c r="B993" s="12"/>
      <c r="C993" s="135"/>
      <c r="D993" s="12"/>
      <c r="E993" s="136"/>
      <c r="H993" s="12"/>
    </row>
  </sheetData>
  <mergeCells count="16">
    <mergeCell ref="B20:B22"/>
    <mergeCell ref="C20:C22"/>
    <mergeCell ref="B24:B27"/>
    <mergeCell ref="C24:C27"/>
    <mergeCell ref="B29:B35"/>
    <mergeCell ref="C29:C35"/>
    <mergeCell ref="A70:A91"/>
    <mergeCell ref="A92:A138"/>
    <mergeCell ref="A139:A142"/>
    <mergeCell ref="A2:A69"/>
    <mergeCell ref="B2:B9"/>
    <mergeCell ref="C2:C9"/>
    <mergeCell ref="B10:B11"/>
    <mergeCell ref="C10:C11"/>
    <mergeCell ref="B15:B18"/>
    <mergeCell ref="C15:C18"/>
  </mergeCells>
  <dataValidations>
    <dataValidation type="list" allowBlank="1" showErrorMessage="1" sqref="E2:E11 E13 E15:E18 E20:E35 E37:E40 E42:E45 E47:E51 E53:E56 E58:E60 E62:E68 E70:E142">
      <formula1>"P1,P2,P3"</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83.88"/>
    <col customWidth="1" min="3" max="3" width="142.63"/>
  </cols>
  <sheetData>
    <row r="1">
      <c r="A1" s="120" t="s">
        <v>974</v>
      </c>
      <c r="B1" s="121" t="s">
        <v>2</v>
      </c>
      <c r="C1" s="120" t="s">
        <v>11</v>
      </c>
      <c r="D1" s="120" t="s">
        <v>587</v>
      </c>
    </row>
    <row r="2">
      <c r="A2" s="122" t="str">
        <f>IFERROR(__xludf.DUMMYFUNCTION("FILTER({SCAN("""", 'Daily Activities'!A2:A1000, LAMBDA(acc, val, IF(val="""", acc, val))), 'Daily Activities'!C2:C1000, 'Daily Activities'!D2:D1000}, ISNUMBER(SEARCH(""jama"", 'Daily Activities'!B2:B1000)))"),"22/06/2026")</f>
        <v>22/06/2026</v>
      </c>
      <c r="B2" s="12" t="str">
        <f>IFERROR(__xludf.DUMMYFUNCTION("""COMPUTED_VALUE"""),"comparing attetnions of llama 3.2 1 b and qwen 3.2 0.5b param models how each generation of new token how much attention would pay that context(instructions,data,query)")</f>
        <v>comparing attetnions of llama 3.2 1 b and qwen 3.2 0.5b param models how each generation of new token how much attention would pay that context(instructions,data,query)</v>
      </c>
      <c r="C2" s="122" t="str">
        <f>IFERROR(__xludf.DUMMYFUNCTION("""COMPUTED_VALUE"""),"i figure out this 2 models attentions different weights(percentages) in different tokens ")</f>
        <v>i figure out this 2 models attentions different weights(percentages) in different tokens </v>
      </c>
    </row>
    <row r="3">
      <c r="A3" s="122" t="str">
        <f>IFERROR(__xludf.DUMMYFUNCTION("""COMPUTED_VALUE"""),"23/06/2026")</f>
        <v>23/06/2026</v>
      </c>
      <c r="B3" s="12" t="str">
        <f>IFERROR(__xludf.DUMMYFUNCTION("""COMPUTED_VALUE"""),"searching llms ")</f>
        <v>searching llms </v>
      </c>
      <c r="C3" s="122" t="str">
        <f>IFERROR(__xludf.DUMMYFUNCTION("""COMPUTED_VALUE"""),"I did't find any good for that DIR DATA ")</f>
        <v>I did't find any good for that DIR DATA </v>
      </c>
    </row>
    <row r="4">
      <c r="A4" s="122" t="str">
        <f>IFERROR(__xludf.DUMMYFUNCTION("""COMPUTED_VALUE"""),"24/06/2026")</f>
        <v>24/06/2026</v>
      </c>
      <c r="B4" s="12" t="str">
        <f>IFERROR(__xludf.DUMMYFUNCTION("""COMPUTED_VALUE"""),"working in Customer profile , how to create it  ")</f>
        <v>working in Customer profile , how to create it  </v>
      </c>
      <c r="C4" s="122" t="str">
        <f>IFERROR(__xludf.DUMMYFUNCTION("""COMPUTED_VALUE"""),"i figure out Customer Profile may help us to generate data")</f>
        <v>i figure out Customer Profile may help us to generate data</v>
      </c>
    </row>
    <row r="5">
      <c r="A5" s="122" t="str">
        <f>IFERROR(__xludf.DUMMYFUNCTION("""COMPUTED_VALUE"""),"25/06/2026")</f>
        <v>25/06/2026</v>
      </c>
      <c r="B5" s="12"/>
      <c r="C5" s="122" t="str">
        <f>IFERROR(__xludf.DUMMYFUNCTION("""COMPUTED_VALUE"""),"N/A")</f>
        <v>N/A</v>
      </c>
    </row>
    <row r="6">
      <c r="A6" s="122" t="str">
        <f>IFERROR(__xludf.DUMMYFUNCTION("""COMPUTED_VALUE"""),"26/06/2026")</f>
        <v>26/06/2026</v>
      </c>
      <c r="B6" s="12" t="str">
        <f>IFERROR(__xludf.DUMMYFUNCTION("""COMPUTED_VALUE"""),"about ICP difference between that Customer profile ")</f>
        <v>about ICP difference between that Customer profile </v>
      </c>
      <c r="C6" s="122" t="str">
        <f>IFERROR(__xludf.DUMMYFUNCTION("""COMPUTED_VALUE"""),"know about ICP ")</f>
        <v>know about ICP </v>
      </c>
    </row>
    <row r="7">
      <c r="A7" s="122" t="str">
        <f>IFERROR(__xludf.DUMMYFUNCTION("""COMPUTED_VALUE"""),"29/06/2026")</f>
        <v>29/06/2026</v>
      </c>
      <c r="B7" s="12" t="str">
        <f>IFERROR(__xludf.DUMMYFUNCTION("""COMPUTED_VALUE"""),"Working on data profile ans understanding about documents to write my own profiles ")</f>
        <v>Working on data profile ans understanding about documents to write my own profiles </v>
      </c>
      <c r="C7" s="122" t="str">
        <f>IFERROR(__xludf.DUMMYFUNCTION("""COMPUTED_VALUE"""),"know about data profile")</f>
        <v>know about data profile</v>
      </c>
    </row>
    <row r="8">
      <c r="A8" s="122" t="str">
        <f>IFERROR(__xludf.DUMMYFUNCTION("""COMPUTED_VALUE"""),"30/06/2026")</f>
        <v>30/06/2026</v>
      </c>
      <c r="B8" s="12" t="str">
        <f>IFERROR(__xludf.DUMMYFUNCTION("""COMPUTED_VALUE"""),"in that generations of llm data is not structure and they follow every time different structure with same input same model ")</f>
        <v>in that generations of llm data is not structure and they follow every time different structure with same input same model </v>
      </c>
      <c r="C8" s="122" t="str">
        <f>IFERROR(__xludf.DUMMYFUNCTION("""COMPUTED_VALUE"""),"we figure drawback is wwe can't define structure because there are so many different types of data ")</f>
        <v>we figure drawback is wwe can't define structure because there are so many different types of data </v>
      </c>
    </row>
    <row r="9">
      <c r="A9" s="123">
        <f>IFERROR(__xludf.DUMMYFUNCTION("""COMPUTED_VALUE"""),46029.0)</f>
        <v>46029</v>
      </c>
      <c r="B9" s="12" t="str">
        <f>IFERROR(__xludf.DUMMYFUNCTION("""COMPUTED_VALUE"""),"i check with different models with my own writings like gemini 3,gpt 5,grok model  in that i choose only that google ai studio with temprature is 0")</f>
        <v>i check with different models with my own writings like gemini 3,gpt 5,grok model  in that i choose only that google ai studio with temprature is 0</v>
      </c>
      <c r="C9" s="122" t="str">
        <f>IFERROR(__xludf.DUMMYFUNCTION("""COMPUTED_VALUE"""),"in that public models have temprature range is in 0.8 to 1 that's leads to we get different results and in that temprature in 0 model i get different results it did't match with my answers ")</f>
        <v>in that public models have temprature range is in 0.8 to 1 that's leads to we get different results and in that temprature in 0 model i get different results it did't match with my answers </v>
      </c>
    </row>
    <row r="10">
      <c r="A10" s="123">
        <f>IFERROR(__xludf.DUMMYFUNCTION("""COMPUTED_VALUE"""),46060.0)</f>
        <v>46060</v>
      </c>
      <c r="B10" s="12" t="str">
        <f>IFERROR(__xludf.DUMMYFUNCTION("""COMPUTED_VALUE"""),"i do prompt refinements and tried with individual generations getting different results and tried with few shot promptings  ")</f>
        <v>i do prompt refinements and tried with individual generations getting different results and tried with few shot promptings  </v>
      </c>
      <c r="C10" s="122" t="str">
        <f>IFERROR(__xludf.DUMMYFUNCTION("""COMPUTED_VALUE"""),"some get accuracy 30% ,50,70% with generic prompts , getting good results in few shot prompting but not sure 80% in same prompt getting some times 40%,50% that like around average 60%")</f>
        <v>some get accuracy 30% ,50,70% with generic prompts , getting good results in few shot prompting but not sure 80% in same prompt getting some times 40%,50% that like around average 60%</v>
      </c>
    </row>
    <row r="11">
      <c r="A11" s="123">
        <f>IFERROR(__xludf.DUMMYFUNCTION("""COMPUTED_VALUE"""),46088.0)</f>
        <v>46088</v>
      </c>
      <c r="B11" s="12" t="str">
        <f>IFERROR(__xludf.DUMMYFUNCTION("""COMPUTED_VALUE"""),"i tried to create that schema")</f>
        <v>i tried to create that schema</v>
      </c>
      <c r="C11" s="122" t="str">
        <f>IFERROR(__xludf.DUMMYFUNCTION("""COMPUTED_VALUE"""),"drawback i stuck in how handle different data, i tried but i get a long structure means 2 distnict doc getting different fields ")</f>
        <v>drawback i stuck in how handle different data, i tried but i get a long structure means 2 distnict doc getting different fields </v>
      </c>
    </row>
    <row r="12">
      <c r="A12" s="123">
        <f>IFERROR(__xludf.DUMMYFUNCTION("""COMPUTED_VALUE"""),46180.0)</f>
        <v>46180</v>
      </c>
      <c r="B12" s="12" t="str">
        <f>IFERROR(__xludf.DUMMYFUNCTION("""COMPUTED_VALUE"""),"working in modules in that modules are to be dynamic to trigger baased on that data")</f>
        <v>working in modules in that modules are to be dynamic to trigger baased on that data</v>
      </c>
      <c r="C12" s="122" t="str">
        <f>IFERROR(__xludf.DUMMYFUNCTION("""COMPUTED_VALUE"""),"drawback is that modules must be correct like any writings in that modules play's crucial roel in generation")</f>
        <v>drawback is that modules must be correct like any writings in that modules play's crucial roel in generation</v>
      </c>
    </row>
    <row r="13">
      <c r="A13" s="123">
        <f>IFERROR(__xludf.DUMMYFUNCTION("""COMPUTED_VALUE"""),46210.0)</f>
        <v>46210</v>
      </c>
      <c r="B13" s="12" t="str">
        <f>IFERROR(__xludf.DUMMYFUNCTION("""COMPUTED_VALUE"""),"i created schema for docs with generic prompts , getting good results for small docs if data is large then schema would be broken")</f>
        <v>i created schema for docs with generic prompts , getting good results for small docs if data is large then schema would be broken</v>
      </c>
      <c r="C13" s="122" t="str">
        <f>IFERROR(__xludf.DUMMYFUNCTION("""COMPUTED_VALUE"""),"in that schema prompts should be good enough to create correct schema ")</f>
        <v>in that schema prompts should be good enough to create correct schema </v>
      </c>
    </row>
    <row r="14">
      <c r="A14" s="123">
        <f>IFERROR(__xludf.DUMMYFUNCTION("""COMPUTED_VALUE"""),46211.0)</f>
        <v>46211</v>
      </c>
      <c r="B14" s="12" t="str">
        <f>IFERROR(__xludf.DUMMYFUNCTION("""COMPUTED_VALUE"""),"i created doc approach of the preprocessing")</f>
        <v>i created doc approach of the preprocessing</v>
      </c>
      <c r="C14" s="122" t="str">
        <f>IFERROR(__xludf.DUMMYFUNCTION("""COMPUTED_VALUE"""),"in that first step i stuck in prompts how to tell an llm to generate a data profile, like how structure is it ")</f>
        <v>in that first step i stuck in prompts how to tell an llm to generate a data profile, like how structure is it </v>
      </c>
    </row>
    <row r="15">
      <c r="A15" s="123">
        <f>IFERROR(__xludf.DUMMYFUNCTION("""COMPUTED_VALUE"""),46212.0)</f>
        <v>46212</v>
      </c>
      <c r="B15" s="12" t="str">
        <f>IFERROR(__xludf.DUMMYFUNCTION("""COMPUTED_VALUE"""),"i consider jira organization dataset and write prompt for creating a data profile for this documents in perplexity")</f>
        <v>i consider jira organization dataset and write prompt for creating a data profile for this documents in perplexity</v>
      </c>
      <c r="C15" s="122" t="str">
        <f>IFERROR(__xludf.DUMMYFUNCTION("""COMPUTED_VALUE"""),"in that it gives a structure , if give that structure to any llm it should follow that structure only and getting good results ")</f>
        <v>in that it gives a structure , if give that structure to any llm it should follow that structure only and getting good results </v>
      </c>
    </row>
    <row r="16">
      <c r="A16" s="123">
        <f>IFERROR(__xludf.DUMMYFUNCTION("""COMPUTED_VALUE"""),46213.0)</f>
        <v>46213</v>
      </c>
      <c r="B16" s="12" t="str">
        <f>IFERROR(__xludf.DUMMYFUNCTION("""COMPUTED_VALUE"""),"consider that hubspot and create a structure of that hubspot internal data ")</f>
        <v>consider that hubspot and create a structure of that hubspot internal data </v>
      </c>
      <c r="C16" s="122" t="str">
        <f>IFERROR(__xludf.DUMMYFUNCTION("""COMPUTED_VALUE"""),"i create a structure for that hubspot data")</f>
        <v>i create a structure for that hubspot data</v>
      </c>
    </row>
    <row r="17">
      <c r="A17" s="123">
        <f>IFERROR(__xludf.DUMMYFUNCTION("""COMPUTED_VALUE"""),46216.0)</f>
        <v>46216</v>
      </c>
      <c r="B17" s="12" t="str">
        <f>IFERROR(__xludf.DUMMYFUNCTION("""COMPUTED_VALUE"""),"finding different instructions of llms based on that particular organizations ")</f>
        <v>finding different instructions of llms based on that particular organizations </v>
      </c>
      <c r="C17" s="122" t="str">
        <f>IFERROR(__xludf.DUMMYFUNCTION("""COMPUTED_VALUE"""),"Understanding different instructions of different organizations ")</f>
        <v>Understanding different instructions of different organizations </v>
      </c>
    </row>
    <row r="18">
      <c r="A18" s="123">
        <f>IFERROR(__xludf.DUMMYFUNCTION("""COMPUTED_VALUE"""),46217.0)</f>
        <v>46217</v>
      </c>
      <c r="B18" s="12" t="str">
        <f>IFERROR(__xludf.DUMMYFUNCTION("""COMPUTED_VALUE"""),"i work on enterprise rag data oynx company ")</f>
        <v>i work on enterprise rag data oynx company </v>
      </c>
      <c r="C18" s="122" t="str">
        <f>IFERROR(__xludf.DUMMYFUNCTION("""COMPUTED_VALUE"""),"they generated using 3 rules prompts,agents.md,schema based on this they created fields ")</f>
        <v>they generated using 3 rules prompts,agents.md,schema based on this they created fields </v>
      </c>
    </row>
    <row r="19">
      <c r="A19" s="123">
        <f>IFERROR(__xludf.DUMMYFUNCTION("""COMPUTED_VALUE"""),46218.0)</f>
        <v>46218</v>
      </c>
      <c r="B19" s="12" t="str">
        <f>IFERROR(__xludf.DUMMYFUNCTION("""COMPUTED_VALUE"""),"how this helps to consistency to created structure data and how it helps unnanu_preprocessing stage")</f>
        <v>how this helps to consistency to created structure data and how it helps unnanu_preprocessing stage</v>
      </c>
      <c r="C19" s="122" t="str">
        <f>IFERROR(__xludf.DUMMYFUNCTION("""COMPUTED_VALUE"""),"i figure out they follow different structure based on that data(Oynx)")</f>
        <v>i figure out they follow different structure based on that data(Oynx)</v>
      </c>
    </row>
    <row r="20">
      <c r="A20" s="123">
        <f>IFERROR(__xludf.DUMMYFUNCTION("""COMPUTED_VALUE"""),46219.0)</f>
        <v>46219</v>
      </c>
      <c r="B20" s="12" t="str">
        <f>IFERROR(__xludf.DUMMYFUNCTION("""COMPUTED_VALUE"""),"using that prompts i am gonna consider one enterprise organization then create metadata for that organization")</f>
        <v>using that prompts i am gonna consider one enterprise organization then create metadata for that organization</v>
      </c>
      <c r="C20" s="122" t="str">
        <f>IFERROR(__xludf.DUMMYFUNCTION("""COMPUTED_VALUE"""),"i created a system instructions of Unnanu_slack messages  ")</f>
        <v>i created a system instructions of Unnanu_slack messages  </v>
      </c>
    </row>
    <row r="21">
      <c r="A21" s="123">
        <f>IFERROR(__xludf.DUMMYFUNCTION("""COMPUTED_VALUE"""),46220.0)</f>
        <v>46220</v>
      </c>
      <c r="B21" s="12" t="str">
        <f>IFERROR(__xludf.DUMMYFUNCTION("""COMPUTED_VALUE"""),"Create a company profile  dynamic not generic")</f>
        <v>Create a company profile  dynamic not generic</v>
      </c>
      <c r="C21" s="122" t="str">
        <f>IFERROR(__xludf.DUMMYFUNCTION("""COMPUTED_VALUE"""),"created a company profile based on the file it  is static fields but more sub fields")</f>
        <v>created a company profile based on the file it  is static fields but more sub fields</v>
      </c>
    </row>
    <row r="22">
      <c r="A22" s="123">
        <f>IFERROR(__xludf.DUMMYFUNCTION("""COMPUTED_VALUE"""),46223.0)</f>
        <v>46223</v>
      </c>
      <c r="B22" s="12" t="str">
        <f>IFERROR(__xludf.DUMMYFUNCTION("""COMPUTED_VALUE"""),"work on creating different company profiles based on requirement ")</f>
        <v>work on creating different company profiles based on requirement </v>
      </c>
      <c r="C22" s="122" t="str">
        <f>IFERROR(__xludf.DUMMYFUNCTION("""COMPUTED_VALUE"""),"1.create profiles  based on website data and examples of past created(fewshot examples) with different models 2. write system prompt  for profile creations ex pMCS,amazon  3.i validate amazon it writes good profile")</f>
        <v>1.create profiles  based on website data and examples of past created(fewshot examples) with different models 2. write system prompt  for profile creations ex pMCS,amazon  3.i validate amazon it writes good profile</v>
      </c>
    </row>
    <row r="23">
      <c r="A23" s="123">
        <f>IFERROR(__xludf.DUMMYFUNCTION("""COMPUTED_VALUE"""),46224.0)</f>
        <v>46224</v>
      </c>
      <c r="B23" s="12" t="str">
        <f>IFERROR(__xludf.DUMMYFUNCTION("""COMPUTED_VALUE"""),"1.create workflow for profile creations 2.model selection ")</f>
        <v>1.create workflow for profile creations 2.model selection </v>
      </c>
      <c r="C23" s="122" t="str">
        <f>IFERROR(__xludf.DUMMYFUNCTION("""COMPUTED_VALUE"""),"1.created a profiles in 6 companies           2. tries with gemini ,chatgpt,claude models ")</f>
        <v>1.created a profiles in 6 companies           2. tries with gemini ,chatgpt,claude models </v>
      </c>
    </row>
    <row r="24">
      <c r="A24" s="123">
        <f>IFERROR(__xludf.DUMMYFUNCTION("""COMPUTED_VALUE"""),46225.0)</f>
        <v>46225</v>
      </c>
      <c r="B24" s="12" t="str">
        <f>IFERROR(__xludf.DUMMYFUNCTION("""COMPUTED_VALUE"""),"create a detailed report  try with different companies ")</f>
        <v>create a detailed report  try with different companies </v>
      </c>
      <c r="C24" s="122" t="str">
        <f>IFERROR(__xludf.DUMMYFUNCTION("""COMPUTED_VALUE"""),"1.created different domains comapnies (different industries with same DIR is example) 2. add meta thinking model  3. after reading of that responses i get all were giving good ")</f>
        <v>1.created different domains comapnies (different industries with same DIR is example) 2. add meta thinking model  3. after reading of that responses i get all were giving good </v>
      </c>
    </row>
    <row r="25">
      <c r="A25" s="123">
        <f>IFERROR(__xludf.DUMMYFUNCTION("""COMPUTED_VALUE"""),46226.0)</f>
        <v>46226</v>
      </c>
      <c r="B25" s="12" t="str">
        <f>IFERROR(__xludf.DUMMYFUNCTION("""COMPUTED_VALUE"""),"make a detailed report with different models ")</f>
        <v>make a detailed report with different models </v>
      </c>
      <c r="C25" s="122" t="str">
        <f>IFERROR(__xludf.DUMMYFUNCTION("""COMPUTED_VALUE"""),"created a detailed report")</f>
        <v>created a detailed report</v>
      </c>
    </row>
    <row r="26">
      <c r="A26" s="123">
        <f>IFERROR(__xludf.DUMMYFUNCTION("""COMPUTED_VALUE"""),46227.0)</f>
        <v>46227</v>
      </c>
      <c r="B26" s="12" t="str">
        <f>IFERROR(__xludf.DUMMYFUNCTION("""COMPUTED_VALUE"""),"Analysis of reports generated by bots")</f>
        <v>Analysis of reports generated by bots</v>
      </c>
      <c r="C26" s="122" t="str">
        <f>IFERROR(__xludf.DUMMYFUNCTION("""COMPUTED_VALUE"""),"1.getting contrdiction results 2.finally better to introduce human evoulation ")</f>
        <v>1.getting contrdiction results 2.finally better to introduce human evoulation </v>
      </c>
    </row>
    <row r="27">
      <c r="A27" s="123">
        <f>IFERROR(__xludf.DUMMYFUNCTION("""COMPUTED_VALUE"""),46230.0)</f>
        <v>46230</v>
      </c>
      <c r="B27" s="12" t="str">
        <f>IFERROR(__xludf.DUMMYFUNCTION("""COMPUTED_VALUE"""),"1.Try with API keys of everything")</f>
        <v>1.Try with API keys of everything</v>
      </c>
      <c r="C27" s="122" t="str">
        <f>IFERROR(__xludf.DUMMYFUNCTION("""COMPUTED_VALUE"""),"1.I selected models 
2.did't understand completely about thinking of a model ")</f>
        <v>1.I selected models 
2.did't understand completely about thinking of a model </v>
      </c>
    </row>
    <row r="28">
      <c r="A28" s="123">
        <f>IFERROR(__xludf.DUMMYFUNCTION("""COMPUTED_VALUE"""),46231.0)</f>
        <v>46231</v>
      </c>
      <c r="B28" s="12" t="str">
        <f>IFERROR(__xludf.DUMMYFUNCTION("""COMPUTED_VALUE"""),"1.learn more about thinking levels 
2.select which model to enable how much thinking level
3.after selecting generate data ")</f>
        <v>1.learn more about thinking levels 
2.select which model to enable how much thinking level
3.after selecting generate data </v>
      </c>
      <c r="C28" s="122" t="str">
        <f>IFERROR(__xludf.DUMMYFUNCTION("""COMPUTED_VALUE"""),"1.i selected models but in benchmark datasets they are not good 
2. In thinking level selection MAX to everything ,because generate once only that profiles
")</f>
        <v>1.i selected models but in benchmark datasets they are not good 
2. In thinking level selection MAX to everything ,because generate once only that profiles
</v>
      </c>
    </row>
    <row r="29">
      <c r="A29" s="123">
        <f>IFERROR(__xludf.DUMMYFUNCTION("""COMPUTED_VALUE"""),46232.0)</f>
        <v>46232</v>
      </c>
      <c r="B29" s="12" t="str">
        <f>IFERROR(__xludf.DUMMYFUNCTION("""COMPUTED_VALUE"""),"1.based on becnchmark datasets consider models which are top performances
2.if they are reasoning models enable it max")</f>
        <v>1.based on becnchmark datasets consider models which are top performances
2.if they are reasoning models enable it max</v>
      </c>
      <c r="C29" s="122" t="str">
        <f>IFERROR(__xludf.DUMMYFUNCTION("""COMPUTED_VALUE"""),"1.create a dataset fields
2.domain adaption is primary concern  for any profile ")</f>
        <v>1.create a dataset fields
2.domain adaption is primary concern  for any profile </v>
      </c>
    </row>
    <row r="30">
      <c r="A30" s="123">
        <f>IFERROR(__xludf.DUMMYFUNCTION("""COMPUTED_VALUE"""),46233.0)</f>
        <v>46233</v>
      </c>
      <c r="B30" s="12" t="str">
        <f>IFERROR(__xludf.DUMMYFUNCTION("""COMPUTED_VALUE"""),"1.understand problem statement of Automated AI Non-Emergency Call Triaging System
2.Existing System reference
3.proposed System")</f>
        <v>1.understand problem statement of Automated AI Non-Emergency Call Triaging System
2.Existing System reference
3.proposed System</v>
      </c>
      <c r="C30" s="122" t="str">
        <f>IFERROR(__xludf.DUMMYFUNCTION("""COMPUTED_VALUE"""),"1.understand problem statement 
2.understand Existing System
3.understand what that boon countey do
4.Understand proposed System")</f>
        <v>1.understand problem statement 
2.understand Existing System
3.understand what that boon countey do
4.Understand proposed System</v>
      </c>
    </row>
    <row r="31">
      <c r="A31" s="123">
        <f>IFERROR(__xludf.DUMMYFUNCTION("""COMPUTED_VALUE"""),46234.0)</f>
        <v>46234</v>
      </c>
      <c r="B31" s="12" t="str">
        <f>IFERROR(__xludf.DUMMYFUNCTION("""COMPUTED_VALUE"""),"1.Understand more about Problem statement 
    -&gt; about what actually BCJC is 
     -&gt;what are the Examples of BCJC calls
     -&gt;what BCJC problem ")</f>
        <v>1.Understand more about Problem statement 
    -&gt; about what actually BCJC is 
     -&gt;what are the Examples of BCJC calls
     -&gt;what BCJC problem </v>
      </c>
      <c r="C31" s="122" t="str">
        <f>IFERROR(__xludf.DUMMYFUNCTION("""COMPUTED_VALUE"""),"1.understand BCJC services
2.read some examples of BCJC calls
3.Understand problem")</f>
        <v>1.understand BCJC services
2.read some examples of BCJC calls
3.Understand problem</v>
      </c>
    </row>
    <row r="32">
      <c r="B32" s="12"/>
    </row>
    <row r="33">
      <c r="B33" s="12"/>
    </row>
    <row r="34">
      <c r="B34" s="12"/>
    </row>
    <row r="35">
      <c r="B35" s="12"/>
    </row>
    <row r="36">
      <c r="B36" s="12"/>
    </row>
    <row r="37">
      <c r="B37" s="12"/>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row r="999">
      <c r="B999" s="12"/>
    </row>
    <row r="1000">
      <c r="B1000" s="1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0"/>
    <col customWidth="1" min="3" max="3" width="16.38"/>
    <col customWidth="1" min="7" max="7" width="19.63"/>
  </cols>
  <sheetData>
    <row r="1">
      <c r="A1" s="126" t="s">
        <v>1033</v>
      </c>
      <c r="B1" s="127" t="s">
        <v>1035</v>
      </c>
      <c r="C1" s="126" t="s">
        <v>1036</v>
      </c>
      <c r="D1" s="126" t="s">
        <v>11</v>
      </c>
      <c r="E1" s="126" t="s">
        <v>14</v>
      </c>
      <c r="F1" s="126" t="s">
        <v>1038</v>
      </c>
      <c r="G1" s="127" t="s">
        <v>1039</v>
      </c>
      <c r="H1" s="126" t="s">
        <v>1040</v>
      </c>
      <c r="I1" s="126" t="s">
        <v>1039</v>
      </c>
      <c r="J1" s="128"/>
      <c r="K1" s="128"/>
      <c r="L1" s="128"/>
      <c r="M1" s="128"/>
      <c r="N1" s="128"/>
      <c r="O1" s="128"/>
      <c r="P1" s="128"/>
      <c r="Q1" s="128"/>
      <c r="R1" s="128"/>
      <c r="S1" s="128"/>
      <c r="T1" s="128"/>
      <c r="U1" s="128"/>
      <c r="V1" s="128"/>
      <c r="W1" s="128"/>
      <c r="X1" s="128"/>
      <c r="Y1" s="128"/>
    </row>
    <row r="2">
      <c r="A2" s="64"/>
      <c r="B2" s="64" t="s">
        <v>1044</v>
      </c>
      <c r="C2" s="64" t="s">
        <v>244</v>
      </c>
      <c r="D2" s="64"/>
      <c r="E2" s="129"/>
      <c r="F2" s="64"/>
      <c r="G2" s="65"/>
      <c r="H2" s="64"/>
      <c r="I2" s="65"/>
    </row>
    <row r="3">
      <c r="B3" s="9" t="s">
        <v>1047</v>
      </c>
      <c r="C3" s="9" t="s">
        <v>244</v>
      </c>
      <c r="E3" s="129"/>
      <c r="F3" s="9" t="s">
        <v>1048</v>
      </c>
    </row>
    <row r="4">
      <c r="B4" s="9" t="s">
        <v>1049</v>
      </c>
      <c r="E4" s="129"/>
    </row>
    <row r="5">
      <c r="B5" s="130"/>
    </row>
    <row r="6">
      <c r="B6" s="13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5"/>
  </cols>
  <sheetData>
    <row r="1">
      <c r="A1" s="3" t="s">
        <v>1086</v>
      </c>
      <c r="B1" s="3" t="s">
        <v>1088</v>
      </c>
      <c r="C1" s="3" t="s">
        <v>1089</v>
      </c>
      <c r="D1" s="3" t="s">
        <v>1090</v>
      </c>
      <c r="E1" s="3" t="s">
        <v>1091</v>
      </c>
      <c r="F1" s="3" t="s">
        <v>9</v>
      </c>
    </row>
  </sheetData>
  <drawing r:id="rId1"/>
</worksheet>
</file>